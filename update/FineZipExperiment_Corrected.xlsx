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anhthao\OneDrive\Desktop\"/>
    </mc:Choice>
  </mc:AlternateContent>
  <bookViews>
    <workbookView xWindow="0" yWindow="0" windowWidth="28800" windowHeight="11355" tabRatio="500" activeTab="1"/>
  </bookViews>
  <sheets>
    <sheet name="TomTat_SuaLoi" sheetId="1" r:id="rId1"/>
    <sheet name="GD2_Baseline" sheetId="2" r:id="rId2"/>
    <sheet name="GD3_FixedContext" sheetId="3" r:id="rId3"/>
    <sheet name="GD35_LoRA" sheetId="4" r:id="rId4"/>
    <sheet name="CanChayLai" sheetId="5" r:id="rId5"/>
    <sheet name="GD5_MauBang" sheetId="6" r:id="rId6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6" l="1"/>
  <c r="D20" i="6"/>
  <c r="G19" i="6"/>
  <c r="D19" i="6"/>
  <c r="G17" i="6"/>
  <c r="D17" i="6"/>
  <c r="C17" i="6"/>
  <c r="G16" i="6"/>
  <c r="D16" i="6"/>
  <c r="C16" i="6"/>
  <c r="G15" i="6"/>
  <c r="D15" i="6"/>
  <c r="C15" i="6"/>
  <c r="G14" i="6"/>
  <c r="D14" i="6"/>
  <c r="C14" i="6"/>
  <c r="G13" i="6"/>
  <c r="D13" i="6"/>
  <c r="C13" i="6"/>
  <c r="G12" i="6"/>
  <c r="D12" i="6"/>
  <c r="C12" i="6"/>
  <c r="G11" i="6"/>
  <c r="D11" i="6"/>
  <c r="C11" i="6"/>
  <c r="G10" i="6"/>
  <c r="D10" i="6"/>
  <c r="C10" i="6"/>
  <c r="G9" i="6"/>
  <c r="D9" i="6"/>
  <c r="C9" i="6"/>
  <c r="G8" i="6"/>
  <c r="D8" i="6"/>
  <c r="C8" i="6"/>
  <c r="G7" i="6"/>
  <c r="D7" i="6"/>
  <c r="C7" i="6"/>
  <c r="B3" i="6"/>
  <c r="H28" i="4"/>
  <c r="E28" i="4"/>
  <c r="H27" i="4"/>
  <c r="E27" i="4"/>
  <c r="E22" i="4"/>
  <c r="A22" i="4"/>
  <c r="E21" i="4"/>
  <c r="B21" i="4"/>
  <c r="A21" i="4"/>
  <c r="M15" i="4"/>
  <c r="K15" i="4"/>
  <c r="E15" i="4"/>
  <c r="B22" i="4" s="1"/>
  <c r="C22" i="4" s="1"/>
  <c r="B15" i="4"/>
  <c r="D15" i="4" s="1"/>
  <c r="M14" i="4"/>
  <c r="K14" i="4"/>
  <c r="J14" i="4"/>
  <c r="G14" i="4"/>
  <c r="E14" i="4"/>
  <c r="B14" i="4"/>
  <c r="D14" i="4" s="1"/>
  <c r="B10" i="4"/>
  <c r="B9" i="4"/>
  <c r="B4" i="4"/>
  <c r="J15" i="4" s="1"/>
  <c r="B3" i="4"/>
  <c r="G31" i="3"/>
  <c r="F31" i="3"/>
  <c r="E31" i="3"/>
  <c r="A31" i="3"/>
  <c r="F30" i="3"/>
  <c r="E30" i="3"/>
  <c r="G30" i="3" s="1"/>
  <c r="A30" i="3"/>
  <c r="F29" i="3"/>
  <c r="G29" i="3" s="1"/>
  <c r="E29" i="3"/>
  <c r="A29" i="3"/>
  <c r="G28" i="3"/>
  <c r="F28" i="3"/>
  <c r="E28" i="3"/>
  <c r="A28" i="3"/>
  <c r="G27" i="3"/>
  <c r="F27" i="3"/>
  <c r="E27" i="3"/>
  <c r="A27" i="3"/>
  <c r="J22" i="3"/>
  <c r="H22" i="3"/>
  <c r="C22" i="3"/>
  <c r="E22" i="3" s="1"/>
  <c r="J21" i="3"/>
  <c r="H21" i="3"/>
  <c r="D21" i="3"/>
  <c r="C30" i="3" s="1"/>
  <c r="C21" i="3"/>
  <c r="E21" i="3" s="1"/>
  <c r="J20" i="3"/>
  <c r="H20" i="3"/>
  <c r="C20" i="3"/>
  <c r="E20" i="3" s="1"/>
  <c r="J19" i="3"/>
  <c r="H19" i="3"/>
  <c r="C19" i="3"/>
  <c r="E19" i="3" s="1"/>
  <c r="I18" i="3"/>
  <c r="H18" i="3"/>
  <c r="C18" i="3"/>
  <c r="E18" i="3" s="1"/>
  <c r="L12" i="3"/>
  <c r="I12" i="3"/>
  <c r="G12" i="3"/>
  <c r="D12" i="3"/>
  <c r="C12" i="3"/>
  <c r="B31" i="3" s="1"/>
  <c r="L11" i="3"/>
  <c r="I11" i="3"/>
  <c r="G11" i="3"/>
  <c r="D11" i="3"/>
  <c r="C11" i="3"/>
  <c r="E11" i="3" s="1"/>
  <c r="L10" i="3"/>
  <c r="I10" i="3"/>
  <c r="G10" i="3"/>
  <c r="D10" i="3"/>
  <c r="C10" i="3"/>
  <c r="B29" i="3" s="1"/>
  <c r="L9" i="3"/>
  <c r="I9" i="3"/>
  <c r="G9" i="3"/>
  <c r="D9" i="3"/>
  <c r="C9" i="3"/>
  <c r="B28" i="3" s="1"/>
  <c r="I8" i="3"/>
  <c r="G8" i="3"/>
  <c r="D8" i="3"/>
  <c r="C8" i="3"/>
  <c r="E8" i="3" s="1"/>
  <c r="B4" i="3"/>
  <c r="F21" i="3" s="1"/>
  <c r="B3" i="3"/>
  <c r="B20" i="2"/>
  <c r="B19" i="2"/>
  <c r="B16" i="2"/>
  <c r="O12" i="2"/>
  <c r="J12" i="2"/>
  <c r="I12" i="2"/>
  <c r="H12" i="2"/>
  <c r="O11" i="2"/>
  <c r="J11" i="2"/>
  <c r="I11" i="2"/>
  <c r="H11" i="2"/>
  <c r="B18" i="2" s="1"/>
  <c r="O10" i="2"/>
  <c r="I10" i="2"/>
  <c r="H10" i="2"/>
  <c r="B17" i="2" s="1"/>
  <c r="G10" i="2"/>
  <c r="J10" i="2" s="1"/>
  <c r="O9" i="2"/>
  <c r="J9" i="2"/>
  <c r="I9" i="2"/>
  <c r="H9" i="2"/>
  <c r="O8" i="2"/>
  <c r="J8" i="2"/>
  <c r="I8" i="2"/>
  <c r="H8" i="2"/>
  <c r="F22" i="4" l="1"/>
  <c r="D22" i="4"/>
  <c r="G21" i="4"/>
  <c r="F14" i="4"/>
  <c r="H14" i="4"/>
  <c r="F15" i="4"/>
  <c r="G22" i="4"/>
  <c r="H22" i="4" s="1"/>
  <c r="H15" i="4"/>
  <c r="H21" i="4"/>
  <c r="D18" i="3"/>
  <c r="C27" i="3" s="1"/>
  <c r="D27" i="3" s="1"/>
  <c r="D20" i="3"/>
  <c r="C29" i="3" s="1"/>
  <c r="D29" i="3" s="1"/>
  <c r="D22" i="3"/>
  <c r="C31" i="3" s="1"/>
  <c r="D31" i="3" s="1"/>
  <c r="I15" i="4"/>
  <c r="F18" i="3"/>
  <c r="F20" i="3"/>
  <c r="F22" i="3"/>
  <c r="I14" i="4"/>
  <c r="B30" i="3"/>
  <c r="D30" i="3" s="1"/>
  <c r="D19" i="3"/>
  <c r="C28" i="3" s="1"/>
  <c r="D28" i="3" s="1"/>
  <c r="C21" i="4"/>
  <c r="E10" i="3"/>
  <c r="E12" i="3"/>
  <c r="F19" i="3"/>
  <c r="B27" i="3"/>
  <c r="G15" i="4"/>
  <c r="E9" i="3"/>
  <c r="F21" i="4" l="1"/>
  <c r="D21" i="4"/>
</calcChain>
</file>

<file path=xl/sharedStrings.xml><?xml version="1.0" encoding="utf-8"?>
<sst xmlns="http://schemas.openxmlformats.org/spreadsheetml/2006/main" count="349" uniqueCount="264">
  <si>
    <t>FineZip — bảng số liệu đã sửa &amp; danh sách lỗi</t>
  </si>
  <si>
    <t>Mọi con số gốc lấy từ FineZipExperiment.xlsx và 5 notebook đã tải lên; công thức tính lại nằm ở các sheet GD*.</t>
  </si>
  <si>
    <t>Có bắt buộc chạy lại không?</t>
  </si>
  <si>
    <t>KHÔNG để sửa bảng: các lỗi 1–6 chỉ là tính toán/trình bày lại từ số đã có. Cần bổ sung (không bắt buộc cho phần sửa): đo kích thước adapter (không cần GPU), thời gian giải nén + GPU peak của FineZip (vài chục phút, đề bài có yêu cầu). Chi tiết ở sheet CanChayLai.</t>
  </si>
  <si>
    <t>#</t>
  </si>
  <si>
    <t>Vấn đề trong bản gốc</t>
  </si>
  <si>
    <t>Bản gốc ghi</t>
  </si>
  <si>
    <t>Sau khi sửa</t>
  </si>
  <si>
    <t>Chạy lại?</t>
  </si>
  <si>
    <t>Cột 'Compressed size ≈ B' của LLMZip-lite sai ở ctx 32–256 (chia bit cho 10 thay vì 8)</t>
  </si>
  <si>
    <t>149,487 / 134,948 / 125,485 / 116,416 B</t>
  </si>
  <si>
    <t>≈ 186,860 / 168,685 / 156,856 / 145,521 B (GD3_FixedContext, mục B). Cột ratio trước đây đã đúng.</t>
  </si>
  <si>
    <t>Không</t>
  </si>
  <si>
    <t>Hai quy ước 'ratio' trộn lẫn (gốc/nén và nén/gốc)</t>
  </si>
  <si>
    <t>0.18686 cạnh 5.352×</t>
  </si>
  <si>
    <t>Chuẩn hoá: Ratio = gốc/nén (×); Compressed % = nén/gốc (cùng quy ước paper).</t>
  </si>
  <si>
    <t>Bảng LoRA so sánh sai cặp (khác pipeline)</t>
  </si>
  <si>
    <t>GPT-2 128: 4.154× vs LoRA 6.657×</t>
  </si>
  <si>
    <t>Cùng AC: 6.375× → 6.657× (ctx128), 7.028× → 7.363× (ctx512): giảm kích thước 4.2% / 4.6% (GD35_LoRA, mục 1).</t>
  </si>
  <si>
    <t>Chưa tính kích thước adapter vào file nén</t>
  </si>
  <si>
    <t>Adapter 811.008 tham số ≈ 1.6 MB (fp16) – 3.2 MB (fp32) ≫ file nén 136 KB → ở 1 MB LoRA không có lợi ròng; điểm hoà vốn ≳ 250 MB (GD35_LoRA, mục 2).</t>
  </si>
  <si>
    <t>Thời gian so sánh khác batch (LLMZip-lite &amp; FineZip ctx32 batch 1; FineZip GĐ3 batch 64)</t>
  </si>
  <si>
    <t>FineZip ctx32: 2740 s (GĐ2) vs 61.6 s (GĐ3)</t>
  </si>
  <si>
    <t>Thêm cột Batch; hệ số 45× chỉ do batch (GD2_Baseline!B19). Không kết luận 'FineZip nhanh hơn LLMZip-lite N lần'.</t>
  </si>
  <si>
    <t>Không (tuỳ chọn: cùng batch)</t>
  </si>
  <si>
    <t>Hai lần đo thời gian enc FineZip khác nhau</t>
  </si>
  <si>
    <t>61.6 / 67.2 / 83.0 / 114.3 / 178.8 vs 60.8 / 69.1 / 88.8 / 124.8 / 199.0</t>
  </si>
  <si>
    <t>Giữ cả hai, dùng số từ file .txt, hiển thị độ lệch 3–11%.</t>
  </si>
  <si>
    <t>Tuỳ chọn</t>
  </si>
  <si>
    <t>Mô tả pipeline sai ('FineZip của nhóm = context cố định + arithmetic coding')</t>
  </si>
  <si>
    <t>Sheet 'Đánh giá từng giai đoạn'</t>
  </si>
  <si>
    <t>eval_clean.py (FineZip) = rank + bzip2, chunk, batch. eval_ac.py ('LLMZip-lite') = AC + cửa sổ trượt. 'Context' hai bên khác nghĩa.</t>
  </si>
  <si>
    <t>'Training time/memory của LoRA chưa có'</t>
  </si>
  <si>
    <t>⚠ chưa có</t>
  </si>
  <si>
    <t>Đã có trong notebook: 48.6 s, peak 2,749 MiB allocated / 3,024 MiB reserved (GD35_LoRA, mục 4).</t>
  </si>
  <si>
    <t>Thiếu thời gian giải nén &amp; GPU peak theo từng ctx (FineZip)</t>
  </si>
  <si>
    <t>Để trống / '...'</t>
  </si>
  <si>
    <t>Đánh dấu vàng 'CHƯA ĐO'. LLMZip-lite: dec ctx 32 đã đo, còn lại ghi ước tính ≈ enc.</t>
  </si>
  <si>
    <t>Nên (FineZip)</t>
  </si>
  <si>
    <t>Hai số GPU memory mâu thuẫn</t>
  </si>
  <si>
    <t>991 vs 1962 MiB</t>
  </si>
  <si>
    <t>Khác phạm vi đo (file 1 MB lúc nén vs test 315 B ở GĐ1); ghi chú, chưa kết luận.</t>
  </si>
  <si>
    <t>Nên đo lại cùng điều kiện</t>
  </si>
  <si>
    <t>Giai đoạn 2 — Baseline trên 1 MB enwik8 (đã sửa)</t>
  </si>
  <si>
    <t>Chữ xanh = số lấy từ notebook/Excel cũ (input) · đen = công thức · xanh lá = liên kết sheet khác · vàng đỏ = chưa đo</t>
  </si>
  <si>
    <t>Original (bytes)</t>
  </si>
  <si>
    <t>Ký tự (chars, UTF-8 giải mã)</t>
  </si>
  <si>
    <t>Token GPT-2</t>
  </si>
  <si>
    <t>Method</t>
  </si>
  <si>
    <t>Model</t>
  </si>
  <si>
    <t>Pipeline</t>
  </si>
  <si>
    <t>Context</t>
  </si>
  <si>
    <t>Batch</t>
  </si>
  <si>
    <t>AC bits (nếu có)</t>
  </si>
  <si>
    <t>Compressed (B)</t>
  </si>
  <si>
    <t>Ratio (gốc/nén)</t>
  </si>
  <si>
    <t>Compressed % (nén/gốc)</t>
  </si>
  <si>
    <t>Bits/char</t>
  </si>
  <si>
    <t>Enc (s)</t>
  </si>
  <si>
    <t>Dec (s)</t>
  </si>
  <si>
    <t>GPU peak (MiB)</t>
  </si>
  <si>
    <t>Lossless</t>
  </si>
  <si>
    <t>Tiết kiệm so với bzip2</t>
  </si>
  <si>
    <t>Ghi chú</t>
  </si>
  <si>
    <t>gzip</t>
  </si>
  <si>
    <t>-</t>
  </si>
  <si>
    <t>DEFLATE</t>
  </si>
  <si>
    <t>✓</t>
  </si>
  <si>
    <t>GĐ2</t>
  </si>
  <si>
    <t>bzip2</t>
  </si>
  <si>
    <t>BWT</t>
  </si>
  <si>
    <t>LLMZip-lite</t>
  </si>
  <si>
    <t>GPT-2</t>
  </si>
  <si>
    <t>AC + cửa sổ trượt (eval_ac.py)</t>
  </si>
  <si>
    <t>Lần chạy GĐ3 đo lại enc = 2938.72 s. Bytes = ROUNDUP(bits/8).</t>
  </si>
  <si>
    <t>FineZip</t>
  </si>
  <si>
    <t>rank + bzip2, chunk (eval_clean.py)</t>
  </si>
  <si>
    <t>batch 1</t>
  </si>
  <si>
    <t>CHƯA ĐO</t>
  </si>
  <si>
    <t>batch 64 (số của GĐ3). Enc lấy từ dòng cuối file .txt.</t>
  </si>
  <si>
    <t>Hệ số suy ra từ bảng trên</t>
  </si>
  <si>
    <t>LLMZip-lite so với gzip (×)</t>
  </si>
  <si>
    <t>LLMZip-lite so với bzip2 (×)</t>
  </si>
  <si>
    <t>FineZip (bs=1) so với bzip2 (×)</t>
  </si>
  <si>
    <t>Tăng tốc do batch: FineZip ctx32, bs 1 → bs 64 (×)</t>
  </si>
  <si>
    <t>Chênh kích thước FineZip bs1 − bs64 (B)</t>
  </si>
  <si>
    <t>⚠ Thời gian giữa các dòng KHÔNG so được thẳng: LLMZip-lite &amp; FineZip(bs=1) chạy tuần tự (batch 1); FineZip(bs=64) chạy song song. Phần lớn chênh lệch tốc độ đến từ batch (ô B19), không phải từ thuật toán.</t>
  </si>
  <si>
    <t>⚠ 'Context 32' ở hai pipeline khác nghĩa: LLMZip-lite = mọi token thấy 32 token trước (cửa sổ trượt); FineZip = chunk dài 32, token thứ i chỉ thấy i−1 token trong chunk.</t>
  </si>
  <si>
    <t>⚠ GPU peak: 993–996 MiB (GĐ2) khác 1962 MiB (GĐ1, file test 315 B). Hai lần đo khác phạm vi → chưa kết luận; cần reset_peak_memory_stats() ngay trước mỗi lần nén.</t>
  </si>
  <si>
    <t>Giai đoạn 3 — Fixed Context 32…512 (đã sửa)</t>
  </si>
  <si>
    <t>Cùng 1 MB enwik8, GPT-2, Kaggle T4</t>
  </si>
  <si>
    <t>Original (B)</t>
  </si>
  <si>
    <t>Chars</t>
  </si>
  <si>
    <t>A. FineZip (rank + bzip2, chunk, batch 64)</t>
  </si>
  <si>
    <t>Context (độ dài chunk)</t>
  </si>
  <si>
    <t>Compressed %</t>
  </si>
  <si>
    <t>Δ ratio so với ctx 32</t>
  </si>
  <si>
    <t>Enc (s) — từ file .txt</t>
  </si>
  <si>
    <t>Thời gian ×  so với ctx 32</t>
  </si>
  <si>
    <t>Enc (s) — bảng thô Excel cũ</t>
  </si>
  <si>
    <t>Lệch giữa 2 lần đo</t>
  </si>
  <si>
    <t>Bit tiết kiệm / giây thêm (so mức trước)</t>
  </si>
  <si>
    <t>Cột L = số bit tiết kiệm được cho mỗi giây tính thêm khi tăng context lên mức này. Đây chính là thang đo cho tham số λ của DPPolicy (adaptive_context_finezip.py): λ &gt; giá trị ở hàng nào thì chính sách sẽ KHÔNG chọn lên mức đó.</t>
  </si>
  <si>
    <t>Hai lần đo thời gian (cột F và H) khác nhau 3–11%: chưa rõ nguyên nhân (khác phiên Kaggle / cách đo). Báo cáo dùng cột F (truy được tới notebook), ghi rõ sai số.</t>
  </si>
  <si>
    <t>B. LLMZip-lite (arithmetic coding, cửa sổ trượt, batch 1)</t>
  </si>
  <si>
    <t>Context (cửa sổ trượt)</t>
  </si>
  <si>
    <t>AC bits</t>
  </si>
  <si>
    <t>Compressed (B) = ROUNDUP(bits/8)</t>
  </si>
  <si>
    <t>Thời gian × so với ctx 32</t>
  </si>
  <si>
    <t>Bit tiết kiệm / giây thêm</t>
  </si>
  <si>
    <t>Dec ctx 32 = số đo ở GĐ2 (2851 s ≈ 0.97 × enc). Các ctx còn lại chưa đo; có thể ghi 'ước tính ≈ enc' (dec/enc = 0.97–1.01 ở các lần đo GĐ2) thay vì chạy lại ~4 giờ cho ctx 512.</t>
  </si>
  <si>
    <t>C. Đặt cạnh nhau (tham khảo — KHÔNG phải cuộc thi trực tiếp, xem ghi chú)</t>
  </si>
  <si>
    <t>Ratio FineZip</t>
  </si>
  <si>
    <t>Ratio LLMZip-lite</t>
  </si>
  <si>
    <t>LLMZip-lite / FineZip (ratio)</t>
  </si>
  <si>
    <t>Enc FineZip (s)</t>
  </si>
  <si>
    <t>Enc LLMZip-lite (s)</t>
  </si>
  <si>
    <t>LLMZip-lite / FineZip (thời gian)</t>
  </si>
  <si>
    <t>Không kết luận 'FineZip kém LLMZip-lite' hay 'nhanh hơn N lần' từ bảng này: khác lược đồ mã hoá (rank+bzip2 vs AC), khác ngữ nghĩa context, khác batch (64 vs 1). Muốn so công bằng cần cùng batch và cùng pipeline mã hoá.</t>
  </si>
  <si>
    <t>Giai đoạn 3.5 — LoRA / online memorization (đã sửa)</t>
  </si>
  <si>
    <t>So sánh đúng cặp: CÙNG pipeline arithmetic coding, cùng cửa sổ trượt, chỉ khác có/không LoRA</t>
  </si>
  <si>
    <t>Số tham số LoRA (notebook: trainable params)</t>
  </si>
  <si>
    <t>Byte / tham số (fp16)</t>
  </si>
  <si>
    <t>Byte / tham số (fp32)</t>
  </si>
  <si>
    <t>Kích thước adapter ĐO THẬT (B) — điền sau khi chạy ls -l</t>
  </si>
  <si>
    <t>Adapter dùng để tính (đo thật nếu có, nếu không = fp16 ước tính)</t>
  </si>
  <si>
    <t>Adapter fp32 ước tính (B)</t>
  </si>
  <si>
    <t>1. LoRA vs không LoRA — cùng pipeline AC</t>
  </si>
  <si>
    <t>AC bits (không LoRA)</t>
  </si>
  <si>
    <t>AC bits (LoRA)</t>
  </si>
  <si>
    <t>Bytes (không LoRA)</t>
  </si>
  <si>
    <t>Bytes (LoRA)</t>
  </si>
  <si>
    <t>Ratio (không LoRA)</t>
  </si>
  <si>
    <t>Ratio (LoRA)</t>
  </si>
  <si>
    <t>Giảm kích thước nhờ LoRA</t>
  </si>
  <si>
    <t>Bits/char (không LoRA)</t>
  </si>
  <si>
    <t>Bits/char (LoRA)</t>
  </si>
  <si>
    <t>Enc (s) không LoRA</t>
  </si>
  <si>
    <t>Enc (s) LoRA</t>
  </si>
  <si>
    <t>Thời gian tăng</t>
  </si>
  <si>
    <t>Bảng gốc đặt FineZip-rank 4.154× cạnh LoRA-AC 6.657× (khác pipeline) nên trông như LoRA cải thiện ~60%. Đúng cặp: LoRA chỉ giảm kích thước khoảng 4–5% (cột H).</t>
  </si>
  <si>
    <t>LoRA chạy chậm hơn (cột M) vì adapter chưa merge: có thể thử model.merge_and_unload() trước khi nén để bỏ chi phí suy luận thêm. Hai lần đo có thể khác phiên Kaggle → coi là xu hướng.</t>
  </si>
  <si>
    <t>2. Tính cả chi phí lưu adapter (phải gửi kèm file nén để giải nén được)</t>
  </si>
  <si>
    <t>File nén LoRA (B)</t>
  </si>
  <si>
    <t>+ adapter (B)</t>
  </si>
  <si>
    <t>Ratio ròng (gốc / (nén + adapter))</t>
  </si>
  <si>
    <t>bzip2 (B)</t>
  </si>
  <si>
    <t>Ròng so với bzip2</t>
  </si>
  <si>
    <t>Tiết kiệm / 1 MB dữ liệu so với không LoRA (B)</t>
  </si>
  <si>
    <t>Điểm hoà vốn: dữ liệu gốc cần ≥ (MB)</t>
  </si>
  <si>
    <t>Giả định (nên ghi trong báo cáo): adapter có kích thước cố định; mức tiết kiệm tăng tuyến tính theo dung lượng dữ liệu. Thực tế adapter cố định 'nhớ' được ít hơn trên dữ liệu lớn → điểm hoà vốn thật có thể XA hơn con số này. Ở 1 MB, LoRA không có lợi ròng.</t>
  </si>
  <si>
    <t>3. Loss / perplexity (hai phép đo khác tập, KHÔNG so với nhau)</t>
  </si>
  <si>
    <t>Phép đo</t>
  </si>
  <si>
    <t>Tập đánh giá</t>
  </si>
  <si>
    <t>Loss trước</t>
  </si>
  <si>
    <t>Loss sau</t>
  </si>
  <si>
    <t>Δ loss</t>
  </si>
  <si>
    <t>PPL trước</t>
  </si>
  <si>
    <t>PPL sau</t>
  </si>
  <si>
    <t>Δ PPL</t>
  </si>
  <si>
    <t>Trong script huấn luyện</t>
  </si>
  <si>
    <t>559 khối × 512 = 286.208 token (chính là dữ liệu huấn luyện)</t>
  </si>
  <si>
    <t>In-sample → đúng ý 'memorization'.</t>
  </si>
  <si>
    <t>Đánh giá nhanh (ctx 512)</t>
  </si>
  <si>
    <t>16.352 token đầu của file</t>
  </si>
  <si>
    <t>Một lát nhỏ; không phải toàn bộ 286.273 token.</t>
  </si>
  <si>
    <t>4. Cấu hình &amp; chi phí huấn luyện LoRA (ĐÃ CÓ trong notebook versionn3_5_1, ô 115 — Excel cũ ghi 'chưa có')</t>
  </si>
  <si>
    <t>Mô hình / target</t>
  </si>
  <si>
    <t>GPT-2 · c_attn, c_proj</t>
  </si>
  <si>
    <t>r / alpha / dropout</t>
  </si>
  <si>
    <t>8 / 16 / 0.05</t>
  </si>
  <si>
    <t>Epoch · batch · grad accum · lr</t>
  </si>
  <si>
    <t>1 · 2 · 4 · 2e-4</t>
  </si>
  <si>
    <t>Thời gian huấn luyện (s)</t>
  </si>
  <si>
    <t>Peak GPU allocated (MiB)</t>
  </si>
  <si>
    <t>Peak GPU reserved (MiB)</t>
  </si>
  <si>
    <t>Tham số huấn luyện / tổng</t>
  </si>
  <si>
    <t>811,008 / 125,250,816 (0.6475%)</t>
  </si>
  <si>
    <t>Ngắn gọn: KHÔNG cần chạy lại để sửa các bảng. Chỉ có vài việc bổ sung nhỏ (cột 'Mức độ').</t>
  </si>
  <si>
    <t>Việc</t>
  </si>
  <si>
    <t>Mức độ</t>
  </si>
  <si>
    <t>Vì sao</t>
  </si>
  <si>
    <t>Chi phí ước tính</t>
  </si>
  <si>
    <t>Cách làm</t>
  </si>
  <si>
    <t>Sửa bytes/ratio LLMZip-lite, chuẩn hoá ratio, cặp so sánh LoRA, cộng adapter</t>
  </si>
  <si>
    <t>Không cần chạy lại</t>
  </si>
  <si>
    <t>Chỉ là tính lại từ số đã có (đã làm trong file này).</t>
  </si>
  <si>
    <t>0</t>
  </si>
  <si>
    <t>—</t>
  </si>
  <si>
    <t>Đo kích thước adapter thật</t>
  </si>
  <si>
    <t>Nên (không cần GPU)</t>
  </si>
  <si>
    <t>Hiện chỉ ước tính 1.6–3.2 MB. Số thật làm bảng 'hoà vốn' chính xác.</t>
  </si>
  <si>
    <t>&lt; 1 phút</t>
  </si>
  <si>
    <t>!ls -l /kaggle/working/finezip_experiment/lora_gpt2_1mb  → điền vào GD35_LoRA!B8</t>
  </si>
  <si>
    <t>FineZip: thời gian GIẢI NÉN và GPU peak cho 5 context (bs 64)</t>
  </si>
  <si>
    <t>Nên làm (đề bài yêu cầu dec time + memory)</t>
  </si>
  <si>
    <t>Đang thiếu; decode tự hồi quy có thể nặng hơn encode, và DPPolicy cần mô hình thời gian đúng.</t>
  </si>
  <si>
    <t>Chưa biết chính xác (chưa từng đo decode ở bs 64); ước tính vài chục phút</t>
  </si>
  <si>
    <t>Gọi unzip/decompress có bọc time.perf_counter(); reset_peak_memory_stats() trước mỗi lần. Gộp luôn việc chốt lại thời gian enc (dòng dưới).</t>
  </si>
  <si>
    <t>Chốt lại thời gian enc FineZip (2 lần đo lệch 3–11%)</t>
  </si>
  <si>
    <t>Không đổi kết luận; có thể chỉ ghi sai số.</t>
  </si>
  <si>
    <t>~10 phút nếu gộp với việc trên</t>
  </si>
  <si>
    <t>Chạy lại 5 ctx 1 lần, lấy trung bình.</t>
  </si>
  <si>
    <t>LLMZip-lite: dec time cho ctx 64–512</t>
  </si>
  <si>
    <t>Không nên chạy</t>
  </si>
  <si>
    <t>Chạy ctx 512 mất ~4 giờ; dec ≈ enc ở các lần đo (0.97–1.01).</t>
  </si>
  <si>
    <t>~8 giờ</t>
  </si>
  <si>
    <t>Ghi 'ước tính ≈ enc', nói rõ chỉ đo thật ở ctx 32.</t>
  </si>
  <si>
    <t>So sánh thời gian công bằng cùng batch</t>
  </si>
  <si>
    <t>Tuỳ chọn, nên có</t>
  </si>
  <si>
    <t>Hiện batch 1 vs 64 làm chênh ~45× chỉ do batch.</t>
  </si>
  <si>
    <t>vài phút/ctx</t>
  </si>
  <si>
    <t>eval_ac.py --batch_size 64 (nếu hỗ trợ như README mô tả); ghi rõ kích thước file có thể tăng nhẹ do nhiều luồng AC.</t>
  </si>
  <si>
    <t>LoRA cho pipeline FineZip thật (rank + bzip2)</t>
  </si>
  <si>
    <t>Nên làm</t>
  </si>
  <si>
    <t>Hiện LoRA mới chạy với AC; 'FineZip' trong paper là rank+bzip2+LoRA.</t>
  </si>
  <si>
    <t>Repo có nhánh finetuned_models trong memory_eval(); nạp PeftModel rồi chạy ctx 128/512.</t>
  </si>
  <si>
    <t>Dữ liệu thứ hai / lát khác của enwik8</t>
  </si>
  <si>
    <t>Bắt buộc cho GĐ5</t>
  </si>
  <si>
    <t>Adaptive chỉ có ý nghĩa khi văn bản không đồng nhất; 1 lát 1 MB chưa đủ kết luận.</t>
  </si>
  <si>
    <t>Ghép wiki + code + bảng số, hoặc lát 5–10 MB.</t>
  </si>
  <si>
    <t>GĐ4–5: Adaptive Context, Fixed vs Adaptive, ablation</t>
  </si>
  <si>
    <t>Bắt buộc (chưa làm)</t>
  </si>
  <si>
    <t>Đây là đóng góp riêng.</t>
  </si>
  <si>
    <t>Prototype trên Kaggle, bản cuối trên 4090</t>
  </si>
  <si>
    <t>Xem adaptive_context_finezip.py và sheet GD5_MauBang.</t>
  </si>
  <si>
    <t>Giai đoạn 4–5 — Mẫu bảng Fixed vs Adaptive</t>
  </si>
  <si>
    <t>Điền ô xanh (input) hoặc vàng. Cột tính toán tự cập nhật. Chạy Fixed bằng CHÍNH adaptive_context_finezip.py (FixedPolicy) để so sánh cùng khuôn mã hoá.</t>
  </si>
  <si>
    <t>Hàng mẫu (xám)</t>
  </si>
  <si>
    <t>Số từ MockLM 6.037 token — KHÔNG phải kết quả thật; xoá khi có số thật.</t>
  </si>
  <si>
    <t>Policy</t>
  </si>
  <si>
    <t>So với Fixed-512 (kích thước)</t>
  </si>
  <si>
    <t>Tiết kiệm enc so với Fixed-512</t>
  </si>
  <si>
    <t>Lossless?</t>
  </si>
  <si>
    <t>Phân bố chunk 32/64/128/256/512</t>
  </si>
  <si>
    <t>Fixed-32</t>
  </si>
  <si>
    <t>Fixed-64</t>
  </si>
  <si>
    <t>Fixed-128</t>
  </si>
  <si>
    <t>Fixed-256</t>
  </si>
  <si>
    <t>Fixed-512</t>
  </si>
  <si>
    <t>Adaptive-Feature (entropy+lặp)</t>
  </si>
  <si>
    <t>Adaptive-DP λ=1000</t>
  </si>
  <si>
    <t>Adaptive-DP λ=2000</t>
  </si>
  <si>
    <t>Adaptive-DP λ=5000</t>
  </si>
  <si>
    <t>Adaptive-DP λ=12000</t>
  </si>
  <si>
    <t>Adaptive-DP λ=40000</t>
  </si>
  <si>
    <t>VÍ DỤ (mock): Fixed-512</t>
  </si>
  <si>
    <t>VÍ DỤ (mock): Adaptive-DP λ=3000</t>
  </si>
  <si>
    <t>Hàng mẫu chỉ minh hoạ cột D và G (chênh kích thước &amp; tiết kiệm thời gian ước lượng); cột Ratio bỏ trống vì mock chỉ có 6.037 token.</t>
  </si>
  <si>
    <t>Ablation (điền sau)</t>
  </si>
  <si>
    <t>Thí nghiệm</t>
  </si>
  <si>
    <t>Cấu hình</t>
  </si>
  <si>
    <t>Kết luận ngắn</t>
  </si>
  <si>
    <t>A. Context</t>
  </si>
  <si>
    <t>Adaptive OFF: Fixed 32…512</t>
  </si>
  <si>
    <t>B. Online memorization</t>
  </si>
  <si>
    <t>No LoRA / LoRA (pipeline rank+bzip2)</t>
  </si>
  <si>
    <t>Fixed-512 + LoRA vs Adaptive + LoRA</t>
  </si>
  <si>
    <t>C. Chính sách</t>
  </si>
  <si>
    <t>Feature (entropy) / Feature (lặp) / DP</t>
  </si>
  <si>
    <t>D. Dữ liệu</t>
  </si>
  <si>
    <t>Thuần văn xuôi / hỗn hợp wiki+code+bảng</t>
  </si>
  <si>
    <t>3,253,104 bytes (≈3.10 MiB)</t>
  </si>
  <si>
    <t>Chỉ cần đo adapter thật (ls)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</si>
</sst>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00\×"/>
    <numFmt numFmtId="165" formatCode="0.000"/>
    <numFmt numFmtId="166" formatCode="0.0%"/>
    <numFmt numFmtId="167" formatCode="0.0\×"/>
    <numFmt numFmtId="168" formatCode="0.00\×"/>
    <numFmt numFmtId="169" formatCode="0.0000"/>
    <numFmt numFmtId="170" formatCode="#,##0.0"/>
    <numFmt numFmtId="171" formatCode="0\×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C00000"/>
      <name val="Arial"/>
      <charset val="1"/>
    </font>
    <font>
      <b/>
      <sz val="11"/>
      <color rgb="FF1F3864"/>
      <name val="Arial"/>
      <charset val="1"/>
    </font>
    <font>
      <sz val="10"/>
      <color rgb="FF008000"/>
      <name val="Arial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FCE4D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1" xfId="0" applyFont="1" applyBorder="1"/>
    <xf numFmtId="0" fontId="2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/>
    <xf numFmtId="3" fontId="6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10" fontId="4" fillId="0" borderId="1" xfId="0" applyNumberFormat="1" applyFont="1" applyBorder="1"/>
    <xf numFmtId="165" fontId="4" fillId="0" borderId="1" xfId="0" applyNumberFormat="1" applyFont="1" applyBorder="1"/>
    <xf numFmtId="4" fontId="6" fillId="0" borderId="1" xfId="0" applyNumberFormat="1" applyFont="1" applyBorder="1"/>
    <xf numFmtId="166" fontId="4" fillId="0" borderId="1" xfId="0" applyNumberFormat="1" applyFont="1" applyBorder="1"/>
    <xf numFmtId="0" fontId="6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/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3" fillId="0" borderId="1" xfId="0" applyFont="1" applyBorder="1" applyAlignment="1">
      <alignment vertical="top" wrapText="1"/>
    </xf>
    <xf numFmtId="167" fontId="4" fillId="0" borderId="1" xfId="0" applyNumberFormat="1" applyFont="1" applyBorder="1"/>
    <xf numFmtId="3" fontId="9" fillId="0" borderId="1" xfId="0" applyNumberFormat="1" applyFont="1" applyBorder="1"/>
    <xf numFmtId="168" fontId="4" fillId="0" borderId="1" xfId="0" applyNumberFormat="1" applyFont="1" applyBorder="1"/>
    <xf numFmtId="169" fontId="4" fillId="0" borderId="1" xfId="0" applyNumberFormat="1" applyFont="1" applyBorder="1"/>
    <xf numFmtId="4" fontId="9" fillId="0" borderId="1" xfId="0" applyNumberFormat="1" applyFont="1" applyBorder="1"/>
    <xf numFmtId="170" fontId="4" fillId="0" borderId="1" xfId="0" applyNumberFormat="1" applyFont="1" applyBorder="1"/>
    <xf numFmtId="4" fontId="4" fillId="0" borderId="1" xfId="0" applyNumberFormat="1" applyFont="1" applyBorder="1"/>
    <xf numFmtId="171" fontId="4" fillId="0" borderId="1" xfId="0" applyNumberFormat="1" applyFont="1" applyBorder="1"/>
    <xf numFmtId="1" fontId="6" fillId="0" borderId="1" xfId="0" applyNumberFormat="1" applyFont="1" applyBorder="1"/>
    <xf numFmtId="3" fontId="6" fillId="3" borderId="1" xfId="0" applyNumberFormat="1" applyFont="1" applyFill="1" applyBorder="1"/>
    <xf numFmtId="169" fontId="6" fillId="0" borderId="1" xfId="0" applyNumberFormat="1" applyFont="1" applyBorder="1"/>
    <xf numFmtId="2" fontId="6" fillId="0" borderId="1" xfId="0" applyNumberFormat="1" applyFont="1" applyBorder="1"/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6" fillId="3" borderId="1" xfId="0" applyFont="1" applyFill="1" applyBorder="1"/>
    <xf numFmtId="0" fontId="6" fillId="0" borderId="1" xfId="0" applyFont="1" applyBorder="1"/>
    <xf numFmtId="0" fontId="2" fillId="6" borderId="1" xfId="0" applyFont="1" applyFill="1" applyBorder="1"/>
    <xf numFmtId="3" fontId="6" fillId="6" borderId="1" xfId="0" applyNumberFormat="1" applyFont="1" applyFill="1" applyBorder="1"/>
    <xf numFmtId="0" fontId="4" fillId="6" borderId="1" xfId="0" applyFont="1" applyFill="1" applyBorder="1" applyAlignment="1">
      <alignment horizontal="center" vertical="center" wrapText="1"/>
    </xf>
    <xf numFmtId="10" fontId="4" fillId="6" borderId="1" xfId="0" applyNumberFormat="1" applyFont="1" applyFill="1" applyBorder="1"/>
    <xf numFmtId="2" fontId="6" fillId="6" borderId="1" xfId="0" applyNumberFormat="1" applyFont="1" applyFill="1" applyBorder="1"/>
    <xf numFmtId="166" fontId="4" fillId="6" borderId="1" xfId="0" applyNumberFormat="1" applyFont="1" applyFill="1" applyBorder="1"/>
    <xf numFmtId="0" fontId="4" fillId="7" borderId="1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zoomScaleNormal="100" workbookViewId="0">
      <pane ySplit="7" topLeftCell="A12" activePane="bottomLeft" state="frozen"/>
      <selection pane="bottomLeft" activeCell="D13" sqref="D13"/>
    </sheetView>
  </sheetViews>
  <sheetFormatPr defaultColWidth="8.7109375" defaultRowHeight="15" x14ac:dyDescent="0.25"/>
  <cols>
    <col min="1" max="1" width="5" customWidth="1"/>
    <col min="2" max="2" width="48" customWidth="1"/>
    <col min="3" max="3" width="36" customWidth="1"/>
    <col min="4" max="4" width="64" customWidth="1"/>
    <col min="5" max="5" width="22" customWidth="1"/>
  </cols>
  <sheetData>
    <row r="1" spans="1:5" ht="18" x14ac:dyDescent="0.25">
      <c r="A1" s="4" t="s">
        <v>0</v>
      </c>
    </row>
    <row r="2" spans="1:5" x14ac:dyDescent="0.25">
      <c r="A2" s="5" t="s">
        <v>1</v>
      </c>
    </row>
    <row r="4" spans="1:5" x14ac:dyDescent="0.25">
      <c r="A4" s="6" t="s">
        <v>2</v>
      </c>
    </row>
    <row r="5" spans="1:5" ht="48" customHeight="1" x14ac:dyDescent="0.25">
      <c r="A5" s="3" t="s">
        <v>3</v>
      </c>
      <c r="B5" s="3"/>
      <c r="C5" s="3"/>
      <c r="D5" s="3"/>
      <c r="E5" s="3"/>
    </row>
    <row r="7" spans="1:5" ht="43.5" customHeight="1" x14ac:dyDescent="0.25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</row>
    <row r="8" spans="1:5" ht="63.75" customHeight="1" x14ac:dyDescent="0.25">
      <c r="A8" s="8">
        <v>1</v>
      </c>
      <c r="B8" s="9" t="s">
        <v>9</v>
      </c>
      <c r="C8" s="9" t="s">
        <v>10</v>
      </c>
      <c r="D8" s="9" t="s">
        <v>11</v>
      </c>
      <c r="E8" s="9" t="s">
        <v>12</v>
      </c>
    </row>
    <row r="9" spans="1:5" ht="63.75" customHeight="1" x14ac:dyDescent="0.25">
      <c r="A9" s="8">
        <v>2</v>
      </c>
      <c r="B9" s="9" t="s">
        <v>13</v>
      </c>
      <c r="C9" s="9" t="s">
        <v>14</v>
      </c>
      <c r="D9" s="9" t="s">
        <v>15</v>
      </c>
      <c r="E9" s="9" t="s">
        <v>12</v>
      </c>
    </row>
    <row r="10" spans="1:5" ht="63.75" customHeight="1" x14ac:dyDescent="0.25">
      <c r="A10" s="8">
        <v>3</v>
      </c>
      <c r="B10" s="9" t="s">
        <v>16</v>
      </c>
      <c r="C10" s="9" t="s">
        <v>17</v>
      </c>
      <c r="D10" s="9" t="s">
        <v>18</v>
      </c>
      <c r="E10" s="9" t="s">
        <v>12</v>
      </c>
    </row>
    <row r="11" spans="1:5" ht="63.75" customHeight="1" x14ac:dyDescent="0.25">
      <c r="A11" s="8">
        <v>4</v>
      </c>
      <c r="B11" s="9" t="s">
        <v>19</v>
      </c>
      <c r="C11" s="48" t="s">
        <v>262</v>
      </c>
      <c r="D11" s="9" t="s">
        <v>20</v>
      </c>
      <c r="E11" s="47" t="s">
        <v>263</v>
      </c>
    </row>
    <row r="12" spans="1:5" ht="63.75" customHeight="1" x14ac:dyDescent="0.25">
      <c r="A12" s="8">
        <v>5</v>
      </c>
      <c r="B12" s="9" t="s">
        <v>21</v>
      </c>
      <c r="C12" s="9" t="s">
        <v>22</v>
      </c>
      <c r="D12" s="9" t="s">
        <v>23</v>
      </c>
      <c r="E12" s="9" t="s">
        <v>24</v>
      </c>
    </row>
    <row r="13" spans="1:5" ht="63.75" customHeight="1" x14ac:dyDescent="0.25">
      <c r="A13" s="8">
        <v>6</v>
      </c>
      <c r="B13" s="9" t="s">
        <v>25</v>
      </c>
      <c r="C13" s="9" t="s">
        <v>26</v>
      </c>
      <c r="D13" s="9" t="s">
        <v>27</v>
      </c>
      <c r="E13" s="9" t="s">
        <v>28</v>
      </c>
    </row>
    <row r="14" spans="1:5" ht="63.75" customHeight="1" x14ac:dyDescent="0.25">
      <c r="A14" s="8">
        <v>7</v>
      </c>
      <c r="B14" s="9" t="s">
        <v>29</v>
      </c>
      <c r="C14" s="9" t="s">
        <v>30</v>
      </c>
      <c r="D14" s="9" t="s">
        <v>31</v>
      </c>
      <c r="E14" s="9" t="s">
        <v>12</v>
      </c>
    </row>
    <row r="15" spans="1:5" ht="63.75" customHeight="1" x14ac:dyDescent="0.25">
      <c r="A15" s="8">
        <v>8</v>
      </c>
      <c r="B15" s="9" t="s">
        <v>32</v>
      </c>
      <c r="C15" s="9" t="s">
        <v>33</v>
      </c>
      <c r="D15" s="9" t="s">
        <v>34</v>
      </c>
      <c r="E15" s="9" t="s">
        <v>12</v>
      </c>
    </row>
    <row r="16" spans="1:5" ht="63.75" customHeight="1" x14ac:dyDescent="0.25">
      <c r="A16" s="8">
        <v>9</v>
      </c>
      <c r="B16" s="9" t="s">
        <v>35</v>
      </c>
      <c r="C16" s="9" t="s">
        <v>36</v>
      </c>
      <c r="D16" s="9" t="s">
        <v>37</v>
      </c>
      <c r="E16" s="9" t="s">
        <v>38</v>
      </c>
    </row>
    <row r="17" spans="1:5" ht="63.75" customHeight="1" x14ac:dyDescent="0.25">
      <c r="A17" s="8">
        <v>10</v>
      </c>
      <c r="B17" s="9" t="s">
        <v>39</v>
      </c>
      <c r="C17" s="9" t="s">
        <v>40</v>
      </c>
      <c r="D17" s="9" t="s">
        <v>41</v>
      </c>
      <c r="E17" s="9" t="s">
        <v>42</v>
      </c>
    </row>
  </sheetData>
  <mergeCells count="1">
    <mergeCell ref="A5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zoomScaleNormal="100" workbookViewId="0">
      <pane xSplit="1" ySplit="7" topLeftCell="D8" activePane="bottomRight" state="frozen"/>
      <selection pane="topRight" activeCell="B1" sqref="B1"/>
      <selection pane="bottomLeft" activeCell="A8" sqref="A8"/>
      <selection pane="bottomRight" activeCell="N19" sqref="N19"/>
    </sheetView>
  </sheetViews>
  <sheetFormatPr defaultColWidth="8.7109375" defaultRowHeight="15" x14ac:dyDescent="0.25"/>
  <cols>
    <col min="1" max="1" width="48.28515625" customWidth="1"/>
    <col min="2" max="2" width="9" customWidth="1"/>
    <col min="3" max="3" width="30" customWidth="1"/>
    <col min="4" max="4" width="9" customWidth="1"/>
    <col min="5" max="5" width="7" customWidth="1"/>
    <col min="6" max="9" width="13" customWidth="1"/>
    <col min="10" max="10" width="9" customWidth="1"/>
    <col min="11" max="12" width="11" customWidth="1"/>
    <col min="13" max="13" width="13" customWidth="1"/>
    <col min="14" max="14" width="9" customWidth="1"/>
    <col min="15" max="15" width="13" customWidth="1"/>
    <col min="16" max="16" width="48" customWidth="1"/>
  </cols>
  <sheetData>
    <row r="1" spans="1:16" ht="18" x14ac:dyDescent="0.25">
      <c r="A1" s="4" t="s">
        <v>43</v>
      </c>
    </row>
    <row r="2" spans="1:16" x14ac:dyDescent="0.25">
      <c r="A2" s="5" t="s">
        <v>44</v>
      </c>
    </row>
    <row r="3" spans="1:16" x14ac:dyDescent="0.25">
      <c r="A3" s="10" t="s">
        <v>45</v>
      </c>
      <c r="B3" s="11">
        <v>1000000</v>
      </c>
    </row>
    <row r="4" spans="1:16" x14ac:dyDescent="0.25">
      <c r="A4" s="10" t="s">
        <v>46</v>
      </c>
      <c r="B4" s="11">
        <v>995768</v>
      </c>
    </row>
    <row r="5" spans="1:16" x14ac:dyDescent="0.25">
      <c r="A5" s="10" t="s">
        <v>47</v>
      </c>
      <c r="B5" s="11">
        <v>286273</v>
      </c>
    </row>
    <row r="7" spans="1:16" ht="43.5" customHeight="1" x14ac:dyDescent="0.25">
      <c r="A7" s="7" t="s">
        <v>48</v>
      </c>
      <c r="B7" s="7" t="s">
        <v>49</v>
      </c>
      <c r="C7" s="7" t="s">
        <v>50</v>
      </c>
      <c r="D7" s="7" t="s">
        <v>51</v>
      </c>
      <c r="E7" s="7" t="s">
        <v>52</v>
      </c>
      <c r="F7" s="7" t="s">
        <v>53</v>
      </c>
      <c r="G7" s="7" t="s">
        <v>54</v>
      </c>
      <c r="H7" s="7" t="s">
        <v>55</v>
      </c>
      <c r="I7" s="7" t="s">
        <v>56</v>
      </c>
      <c r="J7" s="7" t="s">
        <v>57</v>
      </c>
      <c r="K7" s="7" t="s">
        <v>58</v>
      </c>
      <c r="L7" s="7" t="s">
        <v>59</v>
      </c>
      <c r="M7" s="7" t="s">
        <v>60</v>
      </c>
      <c r="N7" s="7" t="s">
        <v>61</v>
      </c>
      <c r="O7" s="7" t="s">
        <v>62</v>
      </c>
      <c r="P7" s="7" t="s">
        <v>63</v>
      </c>
    </row>
    <row r="8" spans="1:16" x14ac:dyDescent="0.25">
      <c r="A8" s="10" t="s">
        <v>64</v>
      </c>
      <c r="B8" s="12" t="s">
        <v>65</v>
      </c>
      <c r="C8" s="9" t="s">
        <v>66</v>
      </c>
      <c r="D8" s="8" t="s">
        <v>65</v>
      </c>
      <c r="E8" s="8" t="s">
        <v>65</v>
      </c>
      <c r="F8" s="12"/>
      <c r="G8" s="11">
        <v>355808</v>
      </c>
      <c r="H8" s="13">
        <f>$B$3/G8</f>
        <v>2.8105045417753396</v>
      </c>
      <c r="I8" s="14">
        <f>G8/$B$3</f>
        <v>0.35580800000000001</v>
      </c>
      <c r="J8" s="15">
        <f>G8*8/$B$4</f>
        <v>2.85856143198014</v>
      </c>
      <c r="K8" s="16">
        <v>6.9599999999999995E-2</v>
      </c>
      <c r="L8" s="16">
        <v>6.4000000000000003E-3</v>
      </c>
      <c r="M8" s="8" t="s">
        <v>65</v>
      </c>
      <c r="N8" s="8" t="s">
        <v>67</v>
      </c>
      <c r="O8" s="17">
        <f>1-G8/$G$9</f>
        <v>-0.26476683385290212</v>
      </c>
      <c r="P8" s="9" t="s">
        <v>68</v>
      </c>
    </row>
    <row r="9" spans="1:16" x14ac:dyDescent="0.25">
      <c r="A9" s="10" t="s">
        <v>69</v>
      </c>
      <c r="B9" s="12" t="s">
        <v>65</v>
      </c>
      <c r="C9" s="9" t="s">
        <v>70</v>
      </c>
      <c r="D9" s="8" t="s">
        <v>65</v>
      </c>
      <c r="E9" s="8" t="s">
        <v>65</v>
      </c>
      <c r="F9" s="12"/>
      <c r="G9" s="11">
        <v>281323</v>
      </c>
      <c r="H9" s="13">
        <f>$B$3/G9</f>
        <v>3.5546329308303979</v>
      </c>
      <c r="I9" s="14">
        <f>G9/$B$3</f>
        <v>0.28132299999999999</v>
      </c>
      <c r="J9" s="15">
        <f>G9*8/$B$4</f>
        <v>2.2601489503579146</v>
      </c>
      <c r="K9" s="16">
        <v>9.5100000000000004E-2</v>
      </c>
      <c r="L9" s="16">
        <v>4.0800000000000003E-2</v>
      </c>
      <c r="M9" s="8" t="s">
        <v>65</v>
      </c>
      <c r="N9" s="8" t="s">
        <v>67</v>
      </c>
      <c r="O9" s="17">
        <f>1-G9/$G$9</f>
        <v>0</v>
      </c>
      <c r="P9" s="9" t="s">
        <v>68</v>
      </c>
    </row>
    <row r="10" spans="1:16" ht="25.5" x14ac:dyDescent="0.25">
      <c r="A10" s="10" t="s">
        <v>71</v>
      </c>
      <c r="B10" s="12" t="s">
        <v>72</v>
      </c>
      <c r="C10" s="9" t="s">
        <v>73</v>
      </c>
      <c r="D10" s="18">
        <v>32</v>
      </c>
      <c r="E10" s="18">
        <v>1</v>
      </c>
      <c r="F10" s="11">
        <v>1494873</v>
      </c>
      <c r="G10" s="19">
        <f>ROUNDUP(F10/8,0)</f>
        <v>186860</v>
      </c>
      <c r="H10" s="13">
        <f>$B$3/G10</f>
        <v>5.3516001284384034</v>
      </c>
      <c r="I10" s="14">
        <f>G10/$B$3</f>
        <v>0.18686</v>
      </c>
      <c r="J10" s="15">
        <f>G10*8/$B$4</f>
        <v>1.5012332189827349</v>
      </c>
      <c r="K10" s="16">
        <v>2905.93</v>
      </c>
      <c r="L10" s="16">
        <v>2851.32</v>
      </c>
      <c r="M10" s="16">
        <v>995.75</v>
      </c>
      <c r="N10" s="8" t="s">
        <v>67</v>
      </c>
      <c r="O10" s="17">
        <f>1-G10/$G$9</f>
        <v>0.33578129054503192</v>
      </c>
      <c r="P10" s="9" t="s">
        <v>74</v>
      </c>
    </row>
    <row r="11" spans="1:16" ht="25.5" x14ac:dyDescent="0.25">
      <c r="A11" s="10" t="s">
        <v>75</v>
      </c>
      <c r="B11" s="12" t="s">
        <v>72</v>
      </c>
      <c r="C11" s="9" t="s">
        <v>76</v>
      </c>
      <c r="D11" s="18">
        <v>32</v>
      </c>
      <c r="E11" s="18">
        <v>1</v>
      </c>
      <c r="F11" s="12"/>
      <c r="G11" s="11">
        <v>293093</v>
      </c>
      <c r="H11" s="13">
        <f>$B$3/G11</f>
        <v>3.4118863295950432</v>
      </c>
      <c r="I11" s="14">
        <f>G11/$B$3</f>
        <v>0.29309299999999999</v>
      </c>
      <c r="J11" s="15">
        <f>G11*8/$B$4</f>
        <v>2.354709129034072</v>
      </c>
      <c r="K11" s="16">
        <v>2740.09</v>
      </c>
      <c r="L11" s="16">
        <v>2761.86</v>
      </c>
      <c r="M11" s="16">
        <v>993.43</v>
      </c>
      <c r="N11" s="8" t="s">
        <v>67</v>
      </c>
      <c r="O11" s="17">
        <f>1-G11/$G$9</f>
        <v>-4.1838029595873794E-2</v>
      </c>
      <c r="P11" s="9" t="s">
        <v>77</v>
      </c>
    </row>
    <row r="12" spans="1:16" ht="25.5" x14ac:dyDescent="0.25">
      <c r="A12" s="10" t="s">
        <v>75</v>
      </c>
      <c r="B12" s="12" t="s">
        <v>72</v>
      </c>
      <c r="C12" s="9" t="s">
        <v>76</v>
      </c>
      <c r="D12" s="18">
        <v>32</v>
      </c>
      <c r="E12" s="18">
        <v>64</v>
      </c>
      <c r="F12" s="12"/>
      <c r="G12" s="11">
        <v>293027</v>
      </c>
      <c r="H12" s="13">
        <f>$B$3/G12</f>
        <v>3.4126548065536624</v>
      </c>
      <c r="I12" s="14">
        <f>G12/$B$3</f>
        <v>0.29302699999999998</v>
      </c>
      <c r="J12" s="15">
        <f>G12*8/$B$4</f>
        <v>2.3541788850414958</v>
      </c>
      <c r="K12" s="16">
        <v>61.628860000000003</v>
      </c>
      <c r="L12" s="20" t="s">
        <v>78</v>
      </c>
      <c r="M12" s="20" t="s">
        <v>78</v>
      </c>
      <c r="N12" s="8" t="s">
        <v>67</v>
      </c>
      <c r="O12" s="17">
        <f>1-G12/$G$9</f>
        <v>-4.1603423822438979E-2</v>
      </c>
      <c r="P12" s="9" t="s">
        <v>79</v>
      </c>
    </row>
    <row r="15" spans="1:16" x14ac:dyDescent="0.25">
      <c r="A15" s="21" t="s">
        <v>80</v>
      </c>
    </row>
    <row r="16" spans="1:16" x14ac:dyDescent="0.25">
      <c r="A16" s="22" t="s">
        <v>81</v>
      </c>
      <c r="B16" s="13">
        <f>H10/H8</f>
        <v>1.9041421384994113</v>
      </c>
    </row>
    <row r="17" spans="1:16" x14ac:dyDescent="0.25">
      <c r="A17" s="22" t="s">
        <v>82</v>
      </c>
      <c r="B17" s="13">
        <f>H10/H9</f>
        <v>1.5055282029326769</v>
      </c>
    </row>
    <row r="18" spans="1:16" x14ac:dyDescent="0.25">
      <c r="A18" s="22" t="s">
        <v>83</v>
      </c>
      <c r="B18" s="13">
        <f>H11/H9</f>
        <v>0.95984209790066632</v>
      </c>
    </row>
    <row r="19" spans="1:16" ht="25.5" x14ac:dyDescent="0.25">
      <c r="A19" s="22" t="s">
        <v>84</v>
      </c>
      <c r="B19" s="23">
        <f>K11/K12</f>
        <v>44.461150181911528</v>
      </c>
    </row>
    <row r="20" spans="1:16" ht="25.5" x14ac:dyDescent="0.25">
      <c r="A20" s="22" t="s">
        <v>85</v>
      </c>
      <c r="B20" s="19">
        <f>G11-G12</f>
        <v>66</v>
      </c>
    </row>
    <row r="22" spans="1:16" ht="30" customHeight="1" x14ac:dyDescent="0.25">
      <c r="A22" s="2" t="s">
        <v>86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30" customHeight="1" x14ac:dyDescent="0.25">
      <c r="A23" s="2" t="s">
        <v>87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30" customHeight="1" x14ac:dyDescent="0.25">
      <c r="A24" s="2" t="s">
        <v>88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</sheetData>
  <mergeCells count="3">
    <mergeCell ref="A22:P22"/>
    <mergeCell ref="A23:P23"/>
    <mergeCell ref="A24:P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zoomScaleNormal="100" workbookViewId="0">
      <pane xSplit="1" ySplit="7" topLeftCell="B20" activePane="bottomRight" state="frozen"/>
      <selection pane="topRight" activeCell="B1" sqref="B1"/>
      <selection pane="bottomLeft" activeCell="A8" sqref="A8"/>
      <selection pane="bottomRight" activeCell="L19" sqref="L19"/>
    </sheetView>
  </sheetViews>
  <sheetFormatPr defaultColWidth="8.7109375" defaultRowHeight="15" x14ac:dyDescent="0.25"/>
  <cols>
    <col min="1" max="1" width="16" customWidth="1"/>
    <col min="2" max="3" width="15" customWidth="1"/>
    <col min="4" max="5" width="14" customWidth="1"/>
    <col min="6" max="6" width="15" customWidth="1"/>
    <col min="7" max="7" width="14" customWidth="1"/>
    <col min="8" max="8" width="15" customWidth="1"/>
    <col min="9" max="11" width="13" customWidth="1"/>
    <col min="12" max="12" width="17" customWidth="1"/>
    <col min="13" max="13" width="10" customWidth="1"/>
  </cols>
  <sheetData>
    <row r="1" spans="1:13" ht="18" x14ac:dyDescent="0.25">
      <c r="A1" s="4" t="s">
        <v>89</v>
      </c>
    </row>
    <row r="2" spans="1:13" x14ac:dyDescent="0.25">
      <c r="A2" s="5" t="s">
        <v>90</v>
      </c>
    </row>
    <row r="3" spans="1:13" x14ac:dyDescent="0.25">
      <c r="A3" s="10" t="s">
        <v>91</v>
      </c>
      <c r="B3" s="24">
        <f>GD2_Baseline!B3</f>
        <v>1000000</v>
      </c>
    </row>
    <row r="4" spans="1:13" x14ac:dyDescent="0.25">
      <c r="A4" s="10" t="s">
        <v>92</v>
      </c>
      <c r="B4" s="24">
        <f>GD2_Baseline!B4</f>
        <v>995768</v>
      </c>
    </row>
    <row r="6" spans="1:13" x14ac:dyDescent="0.25">
      <c r="A6" s="21" t="s">
        <v>93</v>
      </c>
    </row>
    <row r="7" spans="1:13" ht="43.5" customHeight="1" x14ac:dyDescent="0.25">
      <c r="A7" s="7" t="s">
        <v>94</v>
      </c>
      <c r="B7" s="7" t="s">
        <v>54</v>
      </c>
      <c r="C7" s="7" t="s">
        <v>55</v>
      </c>
      <c r="D7" s="7" t="s">
        <v>95</v>
      </c>
      <c r="E7" s="7" t="s">
        <v>96</v>
      </c>
      <c r="F7" s="7" t="s">
        <v>97</v>
      </c>
      <c r="G7" s="7" t="s">
        <v>98</v>
      </c>
      <c r="H7" s="7" t="s">
        <v>99</v>
      </c>
      <c r="I7" s="7" t="s">
        <v>100</v>
      </c>
      <c r="J7" s="7" t="s">
        <v>59</v>
      </c>
      <c r="K7" s="7" t="s">
        <v>60</v>
      </c>
      <c r="L7" s="7" t="s">
        <v>101</v>
      </c>
      <c r="M7" s="7" t="s">
        <v>61</v>
      </c>
    </row>
    <row r="8" spans="1:13" x14ac:dyDescent="0.25">
      <c r="A8" s="18">
        <v>32</v>
      </c>
      <c r="B8" s="11">
        <v>293027</v>
      </c>
      <c r="C8" s="13">
        <f>$B$3/B8</f>
        <v>3.4126548065536624</v>
      </c>
      <c r="D8" s="14">
        <f>B8/$B$3</f>
        <v>0.29302699999999998</v>
      </c>
      <c r="E8" s="17">
        <f>C8/$C$8-1</f>
        <v>0</v>
      </c>
      <c r="F8" s="16">
        <v>61.628860000000003</v>
      </c>
      <c r="G8" s="25">
        <f>F8/$F$8</f>
        <v>1</v>
      </c>
      <c r="H8" s="16">
        <v>60.808464000000001</v>
      </c>
      <c r="I8" s="17">
        <f>H8/F8-1</f>
        <v>-1.331188018081142E-2</v>
      </c>
      <c r="J8" s="20" t="s">
        <v>78</v>
      </c>
      <c r="K8" s="20" t="s">
        <v>78</v>
      </c>
      <c r="L8" s="8" t="s">
        <v>65</v>
      </c>
      <c r="M8" s="8" t="s">
        <v>67</v>
      </c>
    </row>
    <row r="9" spans="1:13" x14ac:dyDescent="0.25">
      <c r="A9" s="18">
        <v>64</v>
      </c>
      <c r="B9" s="11">
        <v>264110</v>
      </c>
      <c r="C9" s="13">
        <f>$B$3/B9</f>
        <v>3.7863011623944569</v>
      </c>
      <c r="D9" s="14">
        <f>B9/$B$3</f>
        <v>0.26411000000000001</v>
      </c>
      <c r="E9" s="17">
        <f>C9/$C$8-1</f>
        <v>0.10948847071296042</v>
      </c>
      <c r="F9" s="16">
        <v>67.170760000000001</v>
      </c>
      <c r="G9" s="25">
        <f>F9/$F$8</f>
        <v>1.0899237792164256</v>
      </c>
      <c r="H9" s="16">
        <v>69.091071999999997</v>
      </c>
      <c r="I9" s="17">
        <f>H9/F9-1</f>
        <v>2.8588510834178349E-2</v>
      </c>
      <c r="J9" s="20" t="s">
        <v>78</v>
      </c>
      <c r="K9" s="20" t="s">
        <v>78</v>
      </c>
      <c r="L9" s="19">
        <f>(B8-B9)*8/(F9-F8)</f>
        <v>41743.084501705205</v>
      </c>
      <c r="M9" s="8" t="s">
        <v>67</v>
      </c>
    </row>
    <row r="10" spans="1:13" x14ac:dyDescent="0.25">
      <c r="A10" s="18">
        <v>128</v>
      </c>
      <c r="B10" s="11">
        <v>240733</v>
      </c>
      <c r="C10" s="13">
        <f>$B$3/B10</f>
        <v>4.153979720271006</v>
      </c>
      <c r="D10" s="14">
        <f>B10/$B$3</f>
        <v>0.240733</v>
      </c>
      <c r="E10" s="17">
        <f>C10/$C$8-1</f>
        <v>0.21722821549185212</v>
      </c>
      <c r="F10" s="16">
        <v>82.953515999999993</v>
      </c>
      <c r="G10" s="25">
        <f>F10/$F$8</f>
        <v>1.3460173691351744</v>
      </c>
      <c r="H10" s="16">
        <v>88.830185999999998</v>
      </c>
      <c r="I10" s="17">
        <f>H10/F10-1</f>
        <v>7.0842928466106292E-2</v>
      </c>
      <c r="J10" s="20" t="s">
        <v>78</v>
      </c>
      <c r="K10" s="20" t="s">
        <v>78</v>
      </c>
      <c r="L10" s="19">
        <f>(B9-B10)*8/(F10-F9)</f>
        <v>11849.388028301273</v>
      </c>
      <c r="M10" s="8" t="s">
        <v>67</v>
      </c>
    </row>
    <row r="11" spans="1:13" x14ac:dyDescent="0.25">
      <c r="A11" s="18">
        <v>256</v>
      </c>
      <c r="B11" s="11">
        <v>222510</v>
      </c>
      <c r="C11" s="13">
        <f>$B$3/B11</f>
        <v>4.494180036852276</v>
      </c>
      <c r="D11" s="14">
        <f>B11/$B$3</f>
        <v>0.22251000000000001</v>
      </c>
      <c r="E11" s="17">
        <f>C11/$C$8-1</f>
        <v>0.31691609365871187</v>
      </c>
      <c r="F11" s="16">
        <v>114.332818</v>
      </c>
      <c r="G11" s="25">
        <f>F11/$F$8</f>
        <v>1.8551830749424862</v>
      </c>
      <c r="H11" s="16">
        <v>124.829865</v>
      </c>
      <c r="I11" s="17">
        <f>H11/F11-1</f>
        <v>9.1811320525660323E-2</v>
      </c>
      <c r="J11" s="20" t="s">
        <v>78</v>
      </c>
      <c r="K11" s="20" t="s">
        <v>78</v>
      </c>
      <c r="L11" s="19">
        <f>(B10-B11)*8/(F11-F10)</f>
        <v>4645.8649717574963</v>
      </c>
      <c r="M11" s="8" t="s">
        <v>67</v>
      </c>
    </row>
    <row r="12" spans="1:13" x14ac:dyDescent="0.25">
      <c r="A12" s="18">
        <v>512</v>
      </c>
      <c r="B12" s="11">
        <v>208720</v>
      </c>
      <c r="C12" s="13">
        <f>$B$3/B12</f>
        <v>4.7911077041011882</v>
      </c>
      <c r="D12" s="14">
        <f>B12/$B$3</f>
        <v>0.20871999999999999</v>
      </c>
      <c r="E12" s="17">
        <f>C12/$C$8-1</f>
        <v>0.40392391720965892</v>
      </c>
      <c r="F12" s="16">
        <v>178.81730200000001</v>
      </c>
      <c r="G12" s="25">
        <f>F12/$F$8</f>
        <v>2.901518898775671</v>
      </c>
      <c r="H12" s="16">
        <v>199.04195000000001</v>
      </c>
      <c r="I12" s="17">
        <f>H12/F12-1</f>
        <v>0.11310229923947746</v>
      </c>
      <c r="J12" s="20" t="s">
        <v>78</v>
      </c>
      <c r="K12" s="20" t="s">
        <v>78</v>
      </c>
      <c r="L12" s="19">
        <f>(B11-B12)*8/(F12-F11)</f>
        <v>1710.7991435583169</v>
      </c>
      <c r="M12" s="8" t="s">
        <v>67</v>
      </c>
    </row>
    <row r="13" spans="1:13" ht="30" customHeight="1" x14ac:dyDescent="0.25">
      <c r="A13" s="2" t="s">
        <v>102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0" customHeight="1" x14ac:dyDescent="0.25">
      <c r="A14" s="2" t="s">
        <v>103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6" spans="1:13" x14ac:dyDescent="0.25">
      <c r="A16" s="21" t="s">
        <v>104</v>
      </c>
    </row>
    <row r="17" spans="1:11" ht="43.5" customHeight="1" x14ac:dyDescent="0.25">
      <c r="A17" s="7" t="s">
        <v>105</v>
      </c>
      <c r="B17" s="7" t="s">
        <v>106</v>
      </c>
      <c r="C17" s="7" t="s">
        <v>107</v>
      </c>
      <c r="D17" s="7" t="s">
        <v>55</v>
      </c>
      <c r="E17" s="7" t="s">
        <v>95</v>
      </c>
      <c r="F17" s="7" t="s">
        <v>57</v>
      </c>
      <c r="G17" s="7" t="s">
        <v>58</v>
      </c>
      <c r="H17" s="7" t="s">
        <v>108</v>
      </c>
      <c r="I17" s="7" t="s">
        <v>59</v>
      </c>
      <c r="J17" s="7" t="s">
        <v>109</v>
      </c>
      <c r="K17" s="7" t="s">
        <v>61</v>
      </c>
    </row>
    <row r="18" spans="1:11" x14ac:dyDescent="0.25">
      <c r="A18" s="18">
        <v>32</v>
      </c>
      <c r="B18" s="11">
        <v>1494873</v>
      </c>
      <c r="C18" s="19">
        <f>ROUNDUP(B18/8,0)</f>
        <v>186860</v>
      </c>
      <c r="D18" s="13">
        <f>$B$3/C18</f>
        <v>5.3516001284384034</v>
      </c>
      <c r="E18" s="14">
        <f>C18/$B$3</f>
        <v>0.18686</v>
      </c>
      <c r="F18" s="26">
        <f>B18/$B$4</f>
        <v>1.5012261892328334</v>
      </c>
      <c r="G18" s="16">
        <v>2938.72</v>
      </c>
      <c r="H18" s="25">
        <f>G18/$G$18</f>
        <v>1</v>
      </c>
      <c r="I18" s="27">
        <f>GD2_Baseline!L10</f>
        <v>2851.32</v>
      </c>
      <c r="J18" s="8" t="s">
        <v>65</v>
      </c>
      <c r="K18" s="8" t="s">
        <v>67</v>
      </c>
    </row>
    <row r="19" spans="1:11" x14ac:dyDescent="0.25">
      <c r="A19" s="18">
        <v>64</v>
      </c>
      <c r="B19" s="11">
        <v>1349477</v>
      </c>
      <c r="C19" s="19">
        <f>ROUNDUP(B19/8,0)</f>
        <v>168685</v>
      </c>
      <c r="D19" s="13">
        <f>$B$3/C19</f>
        <v>5.9282093843554557</v>
      </c>
      <c r="E19" s="14">
        <f>C19/$B$3</f>
        <v>0.168685</v>
      </c>
      <c r="F19" s="26">
        <f>B19/$B$4</f>
        <v>1.3552122582770283</v>
      </c>
      <c r="G19" s="16">
        <v>3072.81</v>
      </c>
      <c r="H19" s="25">
        <f>G19/$G$18</f>
        <v>1.0456287090978387</v>
      </c>
      <c r="I19" s="20" t="s">
        <v>78</v>
      </c>
      <c r="J19" s="28">
        <f>(B18-B19)/(G19-G18)</f>
        <v>1084.3165038407028</v>
      </c>
      <c r="K19" s="8" t="s">
        <v>67</v>
      </c>
    </row>
    <row r="20" spans="1:11" x14ac:dyDescent="0.25">
      <c r="A20" s="18">
        <v>128</v>
      </c>
      <c r="B20" s="11">
        <v>1254847</v>
      </c>
      <c r="C20" s="19">
        <f>ROUNDUP(B20/8,0)</f>
        <v>156856</v>
      </c>
      <c r="D20" s="13">
        <f>$B$3/C20</f>
        <v>6.3752741367878816</v>
      </c>
      <c r="E20" s="14">
        <f>C20/$B$3</f>
        <v>0.156856</v>
      </c>
      <c r="F20" s="26">
        <f>B20/$B$4</f>
        <v>1.2601800821074789</v>
      </c>
      <c r="G20" s="16">
        <v>3504.67</v>
      </c>
      <c r="H20" s="25">
        <f>G20/$G$18</f>
        <v>1.1925838460282028</v>
      </c>
      <c r="I20" s="20" t="s">
        <v>78</v>
      </c>
      <c r="J20" s="28">
        <f>(B19-B20)/(G20-G19)</f>
        <v>219.12193766498396</v>
      </c>
      <c r="K20" s="8" t="s">
        <v>67</v>
      </c>
    </row>
    <row r="21" spans="1:11" x14ac:dyDescent="0.25">
      <c r="A21" s="18">
        <v>256</v>
      </c>
      <c r="B21" s="11">
        <v>1164161</v>
      </c>
      <c r="C21" s="19">
        <f>ROUNDUP(B21/8,0)</f>
        <v>145521</v>
      </c>
      <c r="D21" s="13">
        <f>$B$3/C21</f>
        <v>6.871860418771174</v>
      </c>
      <c r="E21" s="14">
        <f>C21/$B$3</f>
        <v>0.14552100000000001</v>
      </c>
      <c r="F21" s="26">
        <f>B21/$B$4</f>
        <v>1.1691086678824787</v>
      </c>
      <c r="G21" s="16">
        <v>6381.51</v>
      </c>
      <c r="H21" s="25">
        <f>G21/$G$18</f>
        <v>2.1715270594000109</v>
      </c>
      <c r="I21" s="20" t="s">
        <v>78</v>
      </c>
      <c r="J21" s="28">
        <f>(B20-B21)/(G21-G20)</f>
        <v>31.522781941296699</v>
      </c>
      <c r="K21" s="8" t="s">
        <v>67</v>
      </c>
    </row>
    <row r="22" spans="1:11" x14ac:dyDescent="0.25">
      <c r="A22" s="18">
        <v>512</v>
      </c>
      <c r="B22" s="11">
        <v>1138347</v>
      </c>
      <c r="C22" s="19">
        <f>ROUNDUP(B22/8,0)</f>
        <v>142294</v>
      </c>
      <c r="D22" s="13">
        <f>$B$3/C22</f>
        <v>7.0277032060382023</v>
      </c>
      <c r="E22" s="14">
        <f>C22/$B$3</f>
        <v>0.142294</v>
      </c>
      <c r="F22" s="26">
        <f>B22/$B$4</f>
        <v>1.1431849587454106</v>
      </c>
      <c r="G22" s="16">
        <v>14486.5</v>
      </c>
      <c r="H22" s="25">
        <f>G22/$G$18</f>
        <v>4.9295271410682204</v>
      </c>
      <c r="I22" s="20" t="s">
        <v>78</v>
      </c>
      <c r="J22" s="28">
        <f>(B21-B22)/(G22-G21)</f>
        <v>3.1849514928457654</v>
      </c>
      <c r="K22" s="8" t="s">
        <v>67</v>
      </c>
    </row>
    <row r="23" spans="1:11" ht="30" customHeight="1" x14ac:dyDescent="0.25">
      <c r="A23" s="2" t="s">
        <v>110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5" spans="1:11" x14ac:dyDescent="0.25">
      <c r="A25" s="21" t="s">
        <v>111</v>
      </c>
    </row>
    <row r="26" spans="1:11" ht="43.5" customHeight="1" x14ac:dyDescent="0.25">
      <c r="A26" s="7" t="s">
        <v>51</v>
      </c>
      <c r="B26" s="7" t="s">
        <v>112</v>
      </c>
      <c r="C26" s="7" t="s">
        <v>113</v>
      </c>
      <c r="D26" s="7" t="s">
        <v>114</v>
      </c>
      <c r="E26" s="7" t="s">
        <v>115</v>
      </c>
      <c r="F26" s="7" t="s">
        <v>116</v>
      </c>
      <c r="G26" s="7" t="s">
        <v>117</v>
      </c>
    </row>
    <row r="27" spans="1:11" x14ac:dyDescent="0.25">
      <c r="A27" s="8">
        <f>A8</f>
        <v>32</v>
      </c>
      <c r="B27" s="13">
        <f>C8</f>
        <v>3.4126548065536624</v>
      </c>
      <c r="C27" s="13">
        <f>D18</f>
        <v>5.3516001284384034</v>
      </c>
      <c r="D27" s="25">
        <f>C27/B27</f>
        <v>1.56816333083592</v>
      </c>
      <c r="E27" s="29">
        <f>F8</f>
        <v>61.628860000000003</v>
      </c>
      <c r="F27" s="29">
        <f>G18</f>
        <v>2938.72</v>
      </c>
      <c r="G27" s="30">
        <f>F27/E27</f>
        <v>47.684153171095481</v>
      </c>
    </row>
    <row r="28" spans="1:11" x14ac:dyDescent="0.25">
      <c r="A28" s="8">
        <f>A9</f>
        <v>64</v>
      </c>
      <c r="B28" s="13">
        <f>C9</f>
        <v>3.7863011623944569</v>
      </c>
      <c r="C28" s="13">
        <f>D19</f>
        <v>5.9282093843554557</v>
      </c>
      <c r="D28" s="25">
        <f>C28/B28</f>
        <v>1.5656993805021193</v>
      </c>
      <c r="E28" s="29">
        <f>F9</f>
        <v>67.170760000000001</v>
      </c>
      <c r="F28" s="29">
        <f>G19</f>
        <v>3072.81</v>
      </c>
      <c r="G28" s="30">
        <f>F28/E28</f>
        <v>45.74624434798713</v>
      </c>
    </row>
    <row r="29" spans="1:11" x14ac:dyDescent="0.25">
      <c r="A29" s="8">
        <f>A10</f>
        <v>128</v>
      </c>
      <c r="B29" s="13">
        <f>C10</f>
        <v>4.153979720271006</v>
      </c>
      <c r="C29" s="13">
        <f>D20</f>
        <v>6.3752741367878816</v>
      </c>
      <c r="D29" s="25">
        <f>C29/B29</f>
        <v>1.534738868771357</v>
      </c>
      <c r="E29" s="29">
        <f>F10</f>
        <v>82.953515999999993</v>
      </c>
      <c r="F29" s="29">
        <f>G20</f>
        <v>3504.67</v>
      </c>
      <c r="G29" s="30">
        <f>F29/E29</f>
        <v>42.248601011679845</v>
      </c>
    </row>
    <row r="30" spans="1:11" x14ac:dyDescent="0.25">
      <c r="A30" s="8">
        <f>A11</f>
        <v>256</v>
      </c>
      <c r="B30" s="13">
        <f>C11</f>
        <v>4.494180036852276</v>
      </c>
      <c r="C30" s="13">
        <f>D21</f>
        <v>6.871860418771174</v>
      </c>
      <c r="D30" s="25">
        <f>C30/B30</f>
        <v>1.5290576617807741</v>
      </c>
      <c r="E30" s="29">
        <f>F11</f>
        <v>114.332818</v>
      </c>
      <c r="F30" s="29">
        <f>G21</f>
        <v>6381.51</v>
      </c>
      <c r="G30" s="30">
        <f>F30/E30</f>
        <v>55.815207843473253</v>
      </c>
    </row>
    <row r="31" spans="1:11" x14ac:dyDescent="0.25">
      <c r="A31" s="8">
        <f>A12</f>
        <v>512</v>
      </c>
      <c r="B31" s="13">
        <f>C12</f>
        <v>4.7911077041011882</v>
      </c>
      <c r="C31" s="13">
        <f>D22</f>
        <v>7.0277032060382023</v>
      </c>
      <c r="D31" s="25">
        <f>C31/B31</f>
        <v>1.4668222131642936</v>
      </c>
      <c r="E31" s="29">
        <f>F12</f>
        <v>178.81730200000001</v>
      </c>
      <c r="F31" s="29">
        <f>G22</f>
        <v>14486.5</v>
      </c>
      <c r="G31" s="30">
        <f>F31/E31</f>
        <v>81.012854114083424</v>
      </c>
    </row>
    <row r="32" spans="1:11" ht="30" customHeight="1" x14ac:dyDescent="0.25">
      <c r="A32" s="2" t="s">
        <v>118</v>
      </c>
      <c r="B32" s="2"/>
      <c r="C32" s="2"/>
      <c r="D32" s="2"/>
      <c r="E32" s="2"/>
      <c r="F32" s="2"/>
      <c r="G32" s="2"/>
      <c r="H32" s="2"/>
      <c r="I32" s="2"/>
      <c r="J32" s="2"/>
      <c r="K32" s="2"/>
    </row>
  </sheetData>
  <mergeCells count="4">
    <mergeCell ref="A13:M13"/>
    <mergeCell ref="A14:M14"/>
    <mergeCell ref="A23:K23"/>
    <mergeCell ref="A32:K3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opLeftCell="A17" zoomScaleNormal="100" workbookViewId="0">
      <selection activeCell="L26" sqref="L26"/>
    </sheetView>
  </sheetViews>
  <sheetFormatPr defaultColWidth="8.7109375" defaultRowHeight="15" x14ac:dyDescent="0.25"/>
  <cols>
    <col min="1" max="1" width="44" customWidth="1"/>
    <col min="2" max="2" width="22" customWidth="1"/>
    <col min="3" max="3" width="15" customWidth="1"/>
    <col min="4" max="5" width="17" customWidth="1"/>
    <col min="6" max="7" width="13" customWidth="1"/>
    <col min="8" max="8" width="16" customWidth="1"/>
    <col min="9" max="12" width="13" customWidth="1"/>
    <col min="13" max="13" width="12" customWidth="1"/>
    <col min="14" max="14" width="9" customWidth="1"/>
  </cols>
  <sheetData>
    <row r="1" spans="1:14" ht="18" x14ac:dyDescent="0.25">
      <c r="A1" s="4" t="s">
        <v>119</v>
      </c>
    </row>
    <row r="2" spans="1:14" x14ac:dyDescent="0.25">
      <c r="A2" s="5" t="s">
        <v>120</v>
      </c>
    </row>
    <row r="3" spans="1:14" x14ac:dyDescent="0.25">
      <c r="A3" s="22" t="s">
        <v>91</v>
      </c>
      <c r="B3" s="24">
        <f>GD2_Baseline!B3</f>
        <v>1000000</v>
      </c>
    </row>
    <row r="4" spans="1:14" x14ac:dyDescent="0.25">
      <c r="A4" s="22" t="s">
        <v>92</v>
      </c>
      <c r="B4" s="24">
        <f>GD2_Baseline!B4</f>
        <v>995768</v>
      </c>
    </row>
    <row r="5" spans="1:14" ht="25.5" x14ac:dyDescent="0.25">
      <c r="A5" s="22" t="s">
        <v>121</v>
      </c>
      <c r="B5" s="11">
        <v>811008</v>
      </c>
    </row>
    <row r="6" spans="1:14" x14ac:dyDescent="0.25">
      <c r="A6" s="22" t="s">
        <v>122</v>
      </c>
      <c r="B6" s="31">
        <v>2</v>
      </c>
    </row>
    <row r="7" spans="1:14" x14ac:dyDescent="0.25">
      <c r="A7" s="22" t="s">
        <v>123</v>
      </c>
      <c r="B7" s="31">
        <v>4</v>
      </c>
    </row>
    <row r="8" spans="1:14" ht="25.5" x14ac:dyDescent="0.25">
      <c r="A8" s="22" t="s">
        <v>124</v>
      </c>
      <c r="B8" s="32">
        <v>3253104</v>
      </c>
    </row>
    <row r="9" spans="1:14" ht="25.5" x14ac:dyDescent="0.25">
      <c r="A9" s="22" t="s">
        <v>125</v>
      </c>
      <c r="B9" s="19">
        <f>IF(ISNUMBER(B8),B8,B5*B6)</f>
        <v>3253104</v>
      </c>
    </row>
    <row r="10" spans="1:14" x14ac:dyDescent="0.25">
      <c r="A10" s="22" t="s">
        <v>126</v>
      </c>
      <c r="B10" s="19">
        <f>B5*B7</f>
        <v>3244032</v>
      </c>
    </row>
    <row r="12" spans="1:14" x14ac:dyDescent="0.25">
      <c r="A12" s="21" t="s">
        <v>127</v>
      </c>
    </row>
    <row r="13" spans="1:14" ht="43.5" customHeight="1" x14ac:dyDescent="0.25">
      <c r="A13" s="7" t="s">
        <v>51</v>
      </c>
      <c r="B13" s="7" t="s">
        <v>128</v>
      </c>
      <c r="C13" s="7" t="s">
        <v>129</v>
      </c>
      <c r="D13" s="7" t="s">
        <v>130</v>
      </c>
      <c r="E13" s="7" t="s">
        <v>131</v>
      </c>
      <c r="F13" s="7" t="s">
        <v>132</v>
      </c>
      <c r="G13" s="7" t="s">
        <v>133</v>
      </c>
      <c r="H13" s="7" t="s">
        <v>134</v>
      </c>
      <c r="I13" s="7" t="s">
        <v>135</v>
      </c>
      <c r="J13" s="7" t="s">
        <v>136</v>
      </c>
      <c r="K13" s="7" t="s">
        <v>137</v>
      </c>
      <c r="L13" s="7" t="s">
        <v>138</v>
      </c>
      <c r="M13" s="7" t="s">
        <v>139</v>
      </c>
      <c r="N13" s="7" t="s">
        <v>61</v>
      </c>
    </row>
    <row r="14" spans="1:14" x14ac:dyDescent="0.25">
      <c r="A14" s="18">
        <v>128</v>
      </c>
      <c r="B14" s="24">
        <f>GD3_FixedContext!B20</f>
        <v>1254847</v>
      </c>
      <c r="C14" s="11">
        <v>1201663</v>
      </c>
      <c r="D14" s="19">
        <f>ROUNDUP(B14/8,0)</f>
        <v>156856</v>
      </c>
      <c r="E14" s="19">
        <f>ROUNDUP(C14/8,0)</f>
        <v>150208</v>
      </c>
      <c r="F14" s="13">
        <f>$B$3/D14</f>
        <v>6.3752741367878816</v>
      </c>
      <c r="G14" s="13">
        <f>$B$3/E14</f>
        <v>6.6574350234341715</v>
      </c>
      <c r="H14" s="14">
        <f>1-E14/D14</f>
        <v>4.2382822461365821E-2</v>
      </c>
      <c r="I14" s="26">
        <f>B14/$B$4</f>
        <v>1.2601800821074789</v>
      </c>
      <c r="J14" s="26">
        <f>C14/$B$4</f>
        <v>1.2067700508552193</v>
      </c>
      <c r="K14" s="27">
        <f>GD3_FixedContext!G20</f>
        <v>3504.67</v>
      </c>
      <c r="L14" s="16">
        <v>4973.2294359999996</v>
      </c>
      <c r="M14" s="17">
        <f>L14/K14-1</f>
        <v>0.41902930546955908</v>
      </c>
      <c r="N14" s="8" t="s">
        <v>67</v>
      </c>
    </row>
    <row r="15" spans="1:14" x14ac:dyDescent="0.25">
      <c r="A15" s="18">
        <v>512</v>
      </c>
      <c r="B15" s="24">
        <f>GD3_FixedContext!B22</f>
        <v>1138347</v>
      </c>
      <c r="C15" s="11">
        <v>1086476</v>
      </c>
      <c r="D15" s="19">
        <f>ROUNDUP(B15/8,0)</f>
        <v>142294</v>
      </c>
      <c r="E15" s="19">
        <f>ROUNDUP(C15/8,0)</f>
        <v>135810</v>
      </c>
      <c r="F15" s="13">
        <f>$B$3/D15</f>
        <v>7.0277032060382023</v>
      </c>
      <c r="G15" s="13">
        <f>$B$3/E15</f>
        <v>7.3632280391723732</v>
      </c>
      <c r="H15" s="14">
        <f>1-E15/D15</f>
        <v>4.5567627587951742E-2</v>
      </c>
      <c r="I15" s="26">
        <f>B15/$B$4</f>
        <v>1.1431849587454106</v>
      </c>
      <c r="J15" s="26">
        <f>C15/$B$4</f>
        <v>1.0910935077246908</v>
      </c>
      <c r="K15" s="27">
        <f>GD3_FixedContext!G22</f>
        <v>14486.5</v>
      </c>
      <c r="L15" s="16">
        <v>16030.614694</v>
      </c>
      <c r="M15" s="17">
        <f>L15/K15-1</f>
        <v>0.10658990743105656</v>
      </c>
      <c r="N15" s="8" t="s">
        <v>67</v>
      </c>
    </row>
    <row r="16" spans="1:14" ht="30" customHeight="1" x14ac:dyDescent="0.25">
      <c r="A16" s="2" t="s">
        <v>140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30" customHeight="1" x14ac:dyDescent="0.25">
      <c r="A17" s="2" t="s">
        <v>141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9" spans="1:14" x14ac:dyDescent="0.25">
      <c r="A19" s="21" t="s">
        <v>142</v>
      </c>
    </row>
    <row r="20" spans="1:14" ht="43.5" customHeight="1" x14ac:dyDescent="0.25">
      <c r="A20" s="7" t="s">
        <v>51</v>
      </c>
      <c r="B20" s="7" t="s">
        <v>143</v>
      </c>
      <c r="C20" s="7" t="s">
        <v>144</v>
      </c>
      <c r="D20" s="7" t="s">
        <v>145</v>
      </c>
      <c r="E20" s="7" t="s">
        <v>146</v>
      </c>
      <c r="F20" s="7" t="s">
        <v>147</v>
      </c>
      <c r="G20" s="7" t="s">
        <v>148</v>
      </c>
      <c r="H20" s="7" t="s">
        <v>149</v>
      </c>
    </row>
    <row r="21" spans="1:14" x14ac:dyDescent="0.25">
      <c r="A21" s="8">
        <f>A14</f>
        <v>128</v>
      </c>
      <c r="B21" s="19">
        <f>E14</f>
        <v>150208</v>
      </c>
      <c r="C21" s="19">
        <f>B21+$B$9</f>
        <v>3403312</v>
      </c>
      <c r="D21" s="13">
        <f>$B$3/C21</f>
        <v>0.29383142068667228</v>
      </c>
      <c r="E21" s="24">
        <f>GD2_Baseline!$G$9</f>
        <v>281323</v>
      </c>
      <c r="F21" s="8" t="str">
        <f>IF(C21&lt;E21,"Tốt hơn","Kém hơn")</f>
        <v>Kém hơn</v>
      </c>
      <c r="G21" s="19">
        <f>D14-E14</f>
        <v>6648</v>
      </c>
      <c r="H21" s="19">
        <f>$B$9/G21*$B$3/1000000</f>
        <v>489.33574007220216</v>
      </c>
    </row>
    <row r="22" spans="1:14" x14ac:dyDescent="0.25">
      <c r="A22" s="8">
        <f>A15</f>
        <v>512</v>
      </c>
      <c r="B22" s="19">
        <f>E15</f>
        <v>135810</v>
      </c>
      <c r="C22" s="19">
        <f>B22+$B$9</f>
        <v>3388914</v>
      </c>
      <c r="D22" s="13">
        <f>$B$3/C22</f>
        <v>0.29507978072031338</v>
      </c>
      <c r="E22" s="24">
        <f>GD2_Baseline!$G$9</f>
        <v>281323</v>
      </c>
      <c r="F22" s="8" t="str">
        <f>IF(C22&lt;E22,"Tốt hơn","Kém hơn")</f>
        <v>Kém hơn</v>
      </c>
      <c r="G22" s="19">
        <f>D15-E15</f>
        <v>6484</v>
      </c>
      <c r="H22" s="19">
        <f>$B$9/G22*$B$3/1000000</f>
        <v>501.71252313386799</v>
      </c>
    </row>
    <row r="23" spans="1:14" ht="30" customHeight="1" x14ac:dyDescent="0.25">
      <c r="A23" s="2" t="s">
        <v>150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5" spans="1:14" x14ac:dyDescent="0.25">
      <c r="A25" s="21" t="s">
        <v>151</v>
      </c>
    </row>
    <row r="26" spans="1:14" ht="43.5" customHeight="1" x14ac:dyDescent="0.25">
      <c r="A26" s="7" t="s">
        <v>152</v>
      </c>
      <c r="B26" s="7" t="s">
        <v>153</v>
      </c>
      <c r="C26" s="7" t="s">
        <v>154</v>
      </c>
      <c r="D26" s="7" t="s">
        <v>155</v>
      </c>
      <c r="E26" s="7" t="s">
        <v>156</v>
      </c>
      <c r="F26" s="7" t="s">
        <v>157</v>
      </c>
      <c r="G26" s="7" t="s">
        <v>158</v>
      </c>
      <c r="H26" s="7" t="s">
        <v>159</v>
      </c>
      <c r="I26" s="7" t="s">
        <v>63</v>
      </c>
    </row>
    <row r="27" spans="1:14" ht="42" customHeight="1" x14ac:dyDescent="0.25">
      <c r="A27" s="22" t="s">
        <v>160</v>
      </c>
      <c r="B27" s="9" t="s">
        <v>161</v>
      </c>
      <c r="C27" s="33">
        <v>3.0574553489685101</v>
      </c>
      <c r="D27" s="33">
        <v>2.9733620166778598</v>
      </c>
      <c r="E27" s="14">
        <f>D27/C27-1</f>
        <v>-2.7504353356794131E-2</v>
      </c>
      <c r="F27" s="34">
        <v>21.2733549637829</v>
      </c>
      <c r="G27" s="34">
        <v>19.557562038459</v>
      </c>
      <c r="H27" s="17">
        <f>G27/F27-1</f>
        <v>-8.0654552525681766E-2</v>
      </c>
      <c r="I27" s="9" t="s">
        <v>162</v>
      </c>
    </row>
    <row r="28" spans="1:14" ht="42" customHeight="1" x14ac:dyDescent="0.25">
      <c r="A28" s="22" t="s">
        <v>163</v>
      </c>
      <c r="B28" s="9" t="s">
        <v>164</v>
      </c>
      <c r="C28" s="33">
        <v>3.1634791493415801</v>
      </c>
      <c r="D28" s="33">
        <v>3.0850256830453899</v>
      </c>
      <c r="E28" s="14">
        <f>D28/C28-1</f>
        <v>-2.4799741864117819E-2</v>
      </c>
      <c r="F28" s="34">
        <v>23.6527423858643</v>
      </c>
      <c r="G28" s="34">
        <v>21.8680305480957</v>
      </c>
      <c r="H28" s="17">
        <f>G28/F28-1</f>
        <v>-7.5454753138274877E-2</v>
      </c>
      <c r="I28" s="9" t="s">
        <v>165</v>
      </c>
    </row>
    <row r="31" spans="1:14" x14ac:dyDescent="0.25">
      <c r="A31" s="21" t="s">
        <v>166</v>
      </c>
    </row>
    <row r="32" spans="1:14" x14ac:dyDescent="0.25">
      <c r="A32" s="22" t="s">
        <v>167</v>
      </c>
      <c r="B32" s="1" t="s">
        <v>168</v>
      </c>
      <c r="C32" s="1"/>
      <c r="D32" s="1"/>
    </row>
    <row r="33" spans="1:4" x14ac:dyDescent="0.25">
      <c r="A33" s="22" t="s">
        <v>169</v>
      </c>
      <c r="B33" s="1" t="s">
        <v>170</v>
      </c>
      <c r="C33" s="1"/>
      <c r="D33" s="1"/>
    </row>
    <row r="34" spans="1:4" x14ac:dyDescent="0.25">
      <c r="A34" s="22" t="s">
        <v>171</v>
      </c>
      <c r="B34" s="1" t="s">
        <v>172</v>
      </c>
      <c r="C34" s="1"/>
      <c r="D34" s="1"/>
    </row>
    <row r="35" spans="1:4" x14ac:dyDescent="0.25">
      <c r="A35" s="22" t="s">
        <v>173</v>
      </c>
      <c r="B35" s="16">
        <v>48.614300966262803</v>
      </c>
    </row>
    <row r="36" spans="1:4" x14ac:dyDescent="0.25">
      <c r="A36" s="22" t="s">
        <v>174</v>
      </c>
      <c r="B36" s="16">
        <v>2749.2373046875</v>
      </c>
    </row>
    <row r="37" spans="1:4" x14ac:dyDescent="0.25">
      <c r="A37" s="22" t="s">
        <v>175</v>
      </c>
      <c r="B37" s="16">
        <v>3024</v>
      </c>
    </row>
    <row r="38" spans="1:4" x14ac:dyDescent="0.25">
      <c r="A38" s="22" t="s">
        <v>176</v>
      </c>
      <c r="B38" s="1" t="s">
        <v>177</v>
      </c>
      <c r="C38" s="1"/>
      <c r="D38" s="1"/>
    </row>
  </sheetData>
  <mergeCells count="7">
    <mergeCell ref="B34:D34"/>
    <mergeCell ref="B38:D38"/>
    <mergeCell ref="A16:N16"/>
    <mergeCell ref="A17:N17"/>
    <mergeCell ref="A23:N23"/>
    <mergeCell ref="B32:D32"/>
    <mergeCell ref="B33:D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opLeftCell="A5" zoomScaleNormal="100" workbookViewId="0">
      <selection activeCell="F9" sqref="F9"/>
    </sheetView>
  </sheetViews>
  <sheetFormatPr defaultColWidth="8.7109375" defaultRowHeight="15" x14ac:dyDescent="0.25"/>
  <cols>
    <col min="1" max="1" width="5" customWidth="1"/>
    <col min="2" max="2" width="42" customWidth="1"/>
    <col min="3" max="3" width="22" customWidth="1"/>
    <col min="4" max="4" width="46" customWidth="1"/>
    <col min="5" max="5" width="26" customWidth="1"/>
    <col min="6" max="6" width="56" customWidth="1"/>
  </cols>
  <sheetData>
    <row r="1" spans="1:7" ht="18" x14ac:dyDescent="0.25">
      <c r="A1" s="4" t="s">
        <v>2</v>
      </c>
    </row>
    <row r="2" spans="1:7" x14ac:dyDescent="0.25">
      <c r="A2" s="5" t="s">
        <v>178</v>
      </c>
    </row>
    <row r="3" spans="1:7" ht="43.5" customHeight="1" x14ac:dyDescent="0.25">
      <c r="A3" s="7" t="s">
        <v>4</v>
      </c>
      <c r="B3" s="7" t="s">
        <v>179</v>
      </c>
      <c r="C3" s="7" t="s">
        <v>180</v>
      </c>
      <c r="D3" s="7" t="s">
        <v>181</v>
      </c>
      <c r="E3" s="7" t="s">
        <v>182</v>
      </c>
      <c r="F3" s="7" t="s">
        <v>183</v>
      </c>
    </row>
    <row r="4" spans="1:7" ht="61.5" customHeight="1" x14ac:dyDescent="0.25">
      <c r="A4" s="8">
        <v>1</v>
      </c>
      <c r="B4" s="9" t="s">
        <v>184</v>
      </c>
      <c r="C4" s="9" t="s">
        <v>185</v>
      </c>
      <c r="D4" s="9" t="s">
        <v>186</v>
      </c>
      <c r="E4" s="9" t="s">
        <v>187</v>
      </c>
      <c r="F4" s="9" t="s">
        <v>188</v>
      </c>
    </row>
    <row r="5" spans="1:7" ht="61.5" customHeight="1" x14ac:dyDescent="0.25">
      <c r="A5" s="8">
        <v>2</v>
      </c>
      <c r="B5" s="9" t="s">
        <v>189</v>
      </c>
      <c r="C5" s="35" t="s">
        <v>190</v>
      </c>
      <c r="D5" s="9" t="s">
        <v>191</v>
      </c>
      <c r="E5" s="9" t="s">
        <v>192</v>
      </c>
      <c r="F5" s="45" t="s">
        <v>193</v>
      </c>
      <c r="G5" s="46" t="s">
        <v>262</v>
      </c>
    </row>
    <row r="6" spans="1:7" ht="61.5" customHeight="1" x14ac:dyDescent="0.25">
      <c r="A6" s="8">
        <v>3</v>
      </c>
      <c r="B6" s="9" t="s">
        <v>194</v>
      </c>
      <c r="C6" s="35" t="s">
        <v>195</v>
      </c>
      <c r="D6" s="9" t="s">
        <v>196</v>
      </c>
      <c r="E6" s="9" t="s">
        <v>197</v>
      </c>
      <c r="F6" s="9" t="s">
        <v>198</v>
      </c>
    </row>
    <row r="7" spans="1:7" ht="61.5" customHeight="1" x14ac:dyDescent="0.25">
      <c r="A7" s="8">
        <v>4</v>
      </c>
      <c r="B7" s="9" t="s">
        <v>199</v>
      </c>
      <c r="C7" s="9" t="s">
        <v>28</v>
      </c>
      <c r="D7" s="9" t="s">
        <v>200</v>
      </c>
      <c r="E7" s="9" t="s">
        <v>201</v>
      </c>
      <c r="F7" s="9" t="s">
        <v>202</v>
      </c>
    </row>
    <row r="8" spans="1:7" ht="61.5" customHeight="1" x14ac:dyDescent="0.25">
      <c r="A8" s="8">
        <v>5</v>
      </c>
      <c r="B8" s="9" t="s">
        <v>203</v>
      </c>
      <c r="C8" s="9" t="s">
        <v>204</v>
      </c>
      <c r="D8" s="9" t="s">
        <v>205</v>
      </c>
      <c r="E8" s="9" t="s">
        <v>206</v>
      </c>
      <c r="F8" s="9" t="s">
        <v>207</v>
      </c>
    </row>
    <row r="9" spans="1:7" ht="61.5" customHeight="1" x14ac:dyDescent="0.25">
      <c r="A9" s="8">
        <v>6</v>
      </c>
      <c r="B9" s="9" t="s">
        <v>208</v>
      </c>
      <c r="C9" s="9" t="s">
        <v>209</v>
      </c>
      <c r="D9" s="9" t="s">
        <v>210</v>
      </c>
      <c r="E9" s="9" t="s">
        <v>211</v>
      </c>
      <c r="F9" s="9" t="s">
        <v>212</v>
      </c>
    </row>
    <row r="10" spans="1:7" ht="61.5" customHeight="1" x14ac:dyDescent="0.25">
      <c r="A10" s="8">
        <v>7</v>
      </c>
      <c r="B10" s="9" t="s">
        <v>213</v>
      </c>
      <c r="C10" s="35" t="s">
        <v>214</v>
      </c>
      <c r="D10" s="9" t="s">
        <v>215</v>
      </c>
      <c r="E10" s="9" t="s">
        <v>211</v>
      </c>
      <c r="F10" s="9" t="s">
        <v>216</v>
      </c>
    </row>
    <row r="11" spans="1:7" ht="61.5" customHeight="1" x14ac:dyDescent="0.25">
      <c r="A11" s="8">
        <v>8</v>
      </c>
      <c r="B11" s="9" t="s">
        <v>217</v>
      </c>
      <c r="C11" s="36" t="s">
        <v>218</v>
      </c>
      <c r="D11" s="9" t="s">
        <v>219</v>
      </c>
      <c r="E11" s="9" t="s">
        <v>188</v>
      </c>
      <c r="F11" s="9" t="s">
        <v>220</v>
      </c>
    </row>
    <row r="12" spans="1:7" ht="61.5" customHeight="1" x14ac:dyDescent="0.25">
      <c r="A12" s="8">
        <v>9</v>
      </c>
      <c r="B12" s="9" t="s">
        <v>221</v>
      </c>
      <c r="C12" s="36" t="s">
        <v>222</v>
      </c>
      <c r="D12" s="9" t="s">
        <v>223</v>
      </c>
      <c r="E12" s="9" t="s">
        <v>224</v>
      </c>
      <c r="F12" s="9" t="s">
        <v>225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opLeftCell="A21" zoomScaleNormal="100" workbookViewId="0">
      <selection activeCell="F31" sqref="F31"/>
    </sheetView>
  </sheetViews>
  <sheetFormatPr defaultColWidth="8.7109375" defaultRowHeight="15" x14ac:dyDescent="0.25"/>
  <cols>
    <col min="1" max="2" width="34" customWidth="1"/>
    <col min="3" max="3" width="15" customWidth="1"/>
    <col min="4" max="4" width="18" customWidth="1"/>
    <col min="5" max="5" width="13" customWidth="1"/>
    <col min="6" max="6" width="12" customWidth="1"/>
    <col min="7" max="7" width="17" customWidth="1"/>
    <col min="8" max="8" width="14" customWidth="1"/>
    <col min="9" max="9" width="11" customWidth="1"/>
    <col min="10" max="10" width="26" customWidth="1"/>
    <col min="11" max="11" width="30" customWidth="1"/>
  </cols>
  <sheetData>
    <row r="1" spans="1:11" ht="18" x14ac:dyDescent="0.25">
      <c r="A1" s="4" t="s">
        <v>226</v>
      </c>
    </row>
    <row r="2" spans="1:11" x14ac:dyDescent="0.25">
      <c r="A2" s="5" t="s">
        <v>227</v>
      </c>
    </row>
    <row r="3" spans="1:11" x14ac:dyDescent="0.25">
      <c r="A3" s="10" t="s">
        <v>91</v>
      </c>
      <c r="B3" s="24">
        <f>GD2_Baseline!B3</f>
        <v>1000000</v>
      </c>
    </row>
    <row r="4" spans="1:11" x14ac:dyDescent="0.25">
      <c r="A4" s="10" t="s">
        <v>228</v>
      </c>
      <c r="B4" s="5" t="s">
        <v>229</v>
      </c>
    </row>
    <row r="6" spans="1:11" ht="43.5" customHeight="1" x14ac:dyDescent="0.25">
      <c r="A6" s="7" t="s">
        <v>230</v>
      </c>
      <c r="B6" s="7" t="s">
        <v>54</v>
      </c>
      <c r="C6" s="7" t="s">
        <v>55</v>
      </c>
      <c r="D6" s="7" t="s">
        <v>231</v>
      </c>
      <c r="E6" s="7" t="s">
        <v>58</v>
      </c>
      <c r="F6" s="7" t="s">
        <v>59</v>
      </c>
      <c r="G6" s="7" t="s">
        <v>232</v>
      </c>
      <c r="H6" s="7" t="s">
        <v>60</v>
      </c>
      <c r="I6" s="7" t="s">
        <v>233</v>
      </c>
      <c r="J6" s="7" t="s">
        <v>234</v>
      </c>
      <c r="K6" s="7" t="s">
        <v>63</v>
      </c>
    </row>
    <row r="7" spans="1:11" x14ac:dyDescent="0.25">
      <c r="A7" s="10" t="s">
        <v>235</v>
      </c>
      <c r="B7" s="37"/>
      <c r="C7" s="13" t="str">
        <f t="shared" ref="C7:C17" si="0">IF(ISNUMBER(B7),$B$3/B7,"")</f>
        <v/>
      </c>
      <c r="D7" s="14" t="str">
        <f t="shared" ref="D7:D17" si="1">IF(AND(ISNUMBER(B7),ISNUMBER($B$11)),B7/$B$11-1,"")</f>
        <v/>
      </c>
      <c r="E7" s="37"/>
      <c r="F7" s="37"/>
      <c r="G7" s="17" t="str">
        <f t="shared" ref="G7:G17" si="2">IF(AND(ISNUMBER(E7),ISNUMBER($E$11)),1-E7/$E$11,"")</f>
        <v/>
      </c>
      <c r="H7" s="37"/>
      <c r="I7" s="38"/>
      <c r="J7" s="38"/>
      <c r="K7" s="38"/>
    </row>
    <row r="8" spans="1:11" x14ac:dyDescent="0.25">
      <c r="A8" s="10" t="s">
        <v>236</v>
      </c>
      <c r="B8" s="37"/>
      <c r="C8" s="13" t="str">
        <f t="shared" si="0"/>
        <v/>
      </c>
      <c r="D8" s="14" t="str">
        <f t="shared" si="1"/>
        <v/>
      </c>
      <c r="E8" s="37"/>
      <c r="F8" s="37"/>
      <c r="G8" s="17" t="str">
        <f t="shared" si="2"/>
        <v/>
      </c>
      <c r="H8" s="37"/>
      <c r="I8" s="38"/>
      <c r="J8" s="38"/>
      <c r="K8" s="38"/>
    </row>
    <row r="9" spans="1:11" x14ac:dyDescent="0.25">
      <c r="A9" s="10" t="s">
        <v>237</v>
      </c>
      <c r="B9" s="37"/>
      <c r="C9" s="13" t="str">
        <f t="shared" si="0"/>
        <v/>
      </c>
      <c r="D9" s="14" t="str">
        <f t="shared" si="1"/>
        <v/>
      </c>
      <c r="E9" s="37"/>
      <c r="F9" s="37"/>
      <c r="G9" s="17" t="str">
        <f t="shared" si="2"/>
        <v/>
      </c>
      <c r="H9" s="37"/>
      <c r="I9" s="38"/>
      <c r="J9" s="38"/>
      <c r="K9" s="38"/>
    </row>
    <row r="10" spans="1:11" x14ac:dyDescent="0.25">
      <c r="A10" s="10" t="s">
        <v>238</v>
      </c>
      <c r="B10" s="37"/>
      <c r="C10" s="13" t="str">
        <f t="shared" si="0"/>
        <v/>
      </c>
      <c r="D10" s="14" t="str">
        <f t="shared" si="1"/>
        <v/>
      </c>
      <c r="E10" s="37"/>
      <c r="F10" s="37"/>
      <c r="G10" s="17" t="str">
        <f t="shared" si="2"/>
        <v/>
      </c>
      <c r="H10" s="37"/>
      <c r="I10" s="38"/>
      <c r="J10" s="38"/>
      <c r="K10" s="38"/>
    </row>
    <row r="11" spans="1:11" x14ac:dyDescent="0.25">
      <c r="A11" s="10" t="s">
        <v>239</v>
      </c>
      <c r="B11" s="37"/>
      <c r="C11" s="13" t="str">
        <f t="shared" si="0"/>
        <v/>
      </c>
      <c r="D11" s="14" t="str">
        <f t="shared" si="1"/>
        <v/>
      </c>
      <c r="E11" s="37"/>
      <c r="F11" s="37"/>
      <c r="G11" s="17" t="str">
        <f t="shared" si="2"/>
        <v/>
      </c>
      <c r="H11" s="37"/>
      <c r="I11" s="38"/>
      <c r="J11" s="38"/>
      <c r="K11" s="38"/>
    </row>
    <row r="12" spans="1:11" x14ac:dyDescent="0.25">
      <c r="A12" s="10" t="s">
        <v>240</v>
      </c>
      <c r="B12" s="37"/>
      <c r="C12" s="13" t="str">
        <f t="shared" si="0"/>
        <v/>
      </c>
      <c r="D12" s="14" t="str">
        <f t="shared" si="1"/>
        <v/>
      </c>
      <c r="E12" s="37"/>
      <c r="F12" s="37"/>
      <c r="G12" s="17" t="str">
        <f t="shared" si="2"/>
        <v/>
      </c>
      <c r="H12" s="37"/>
      <c r="I12" s="38"/>
      <c r="J12" s="38"/>
      <c r="K12" s="38"/>
    </row>
    <row r="13" spans="1:11" x14ac:dyDescent="0.25">
      <c r="A13" s="10" t="s">
        <v>241</v>
      </c>
      <c r="B13" s="37"/>
      <c r="C13" s="13" t="str">
        <f t="shared" si="0"/>
        <v/>
      </c>
      <c r="D13" s="14" t="str">
        <f t="shared" si="1"/>
        <v/>
      </c>
      <c r="E13" s="37"/>
      <c r="F13" s="37"/>
      <c r="G13" s="17" t="str">
        <f t="shared" si="2"/>
        <v/>
      </c>
      <c r="H13" s="37"/>
      <c r="I13" s="38"/>
      <c r="J13" s="38"/>
      <c r="K13" s="38"/>
    </row>
    <row r="14" spans="1:11" x14ac:dyDescent="0.25">
      <c r="A14" s="10" t="s">
        <v>242</v>
      </c>
      <c r="B14" s="37"/>
      <c r="C14" s="13" t="str">
        <f t="shared" si="0"/>
        <v/>
      </c>
      <c r="D14" s="14" t="str">
        <f t="shared" si="1"/>
        <v/>
      </c>
      <c r="E14" s="37"/>
      <c r="F14" s="37"/>
      <c r="G14" s="17" t="str">
        <f t="shared" si="2"/>
        <v/>
      </c>
      <c r="H14" s="37"/>
      <c r="I14" s="38"/>
      <c r="J14" s="38"/>
      <c r="K14" s="38"/>
    </row>
    <row r="15" spans="1:11" x14ac:dyDescent="0.25">
      <c r="A15" s="10" t="s">
        <v>243</v>
      </c>
      <c r="B15" s="37"/>
      <c r="C15" s="13" t="str">
        <f t="shared" si="0"/>
        <v/>
      </c>
      <c r="D15" s="14" t="str">
        <f t="shared" si="1"/>
        <v/>
      </c>
      <c r="E15" s="37"/>
      <c r="F15" s="37"/>
      <c r="G15" s="17" t="str">
        <f t="shared" si="2"/>
        <v/>
      </c>
      <c r="H15" s="37"/>
      <c r="I15" s="38"/>
      <c r="J15" s="38"/>
      <c r="K15" s="38"/>
    </row>
    <row r="16" spans="1:11" x14ac:dyDescent="0.25">
      <c r="A16" s="10" t="s">
        <v>244</v>
      </c>
      <c r="B16" s="37"/>
      <c r="C16" s="13" t="str">
        <f t="shared" si="0"/>
        <v/>
      </c>
      <c r="D16" s="14" t="str">
        <f t="shared" si="1"/>
        <v/>
      </c>
      <c r="E16" s="37"/>
      <c r="F16" s="37"/>
      <c r="G16" s="17" t="str">
        <f t="shared" si="2"/>
        <v/>
      </c>
      <c r="H16" s="37"/>
      <c r="I16" s="38"/>
      <c r="J16" s="38"/>
      <c r="K16" s="38"/>
    </row>
    <row r="17" spans="1:11" x14ac:dyDescent="0.25">
      <c r="A17" s="10" t="s">
        <v>245</v>
      </c>
      <c r="B17" s="37"/>
      <c r="C17" s="13" t="str">
        <f t="shared" si="0"/>
        <v/>
      </c>
      <c r="D17" s="14" t="str">
        <f t="shared" si="1"/>
        <v/>
      </c>
      <c r="E17" s="37"/>
      <c r="F17" s="37"/>
      <c r="G17" s="17" t="str">
        <f t="shared" si="2"/>
        <v/>
      </c>
      <c r="H17" s="37"/>
      <c r="I17" s="38"/>
      <c r="J17" s="38"/>
      <c r="K17" s="38"/>
    </row>
    <row r="19" spans="1:11" x14ac:dyDescent="0.25">
      <c r="A19" s="39" t="s">
        <v>246</v>
      </c>
      <c r="B19" s="40">
        <v>4685</v>
      </c>
      <c r="C19" s="41" t="s">
        <v>188</v>
      </c>
      <c r="D19" s="42">
        <f>B19/$B$19-1</f>
        <v>0</v>
      </c>
      <c r="E19" s="43">
        <v>3.6537999999999999</v>
      </c>
      <c r="G19" s="44">
        <f>1-E19/$E$19</f>
        <v>0</v>
      </c>
    </row>
    <row r="20" spans="1:11" x14ac:dyDescent="0.25">
      <c r="A20" s="39" t="s">
        <v>247</v>
      </c>
      <c r="B20" s="40">
        <v>4693</v>
      </c>
      <c r="C20" s="41" t="s">
        <v>188</v>
      </c>
      <c r="D20" s="42">
        <f>B20/$B$19-1</f>
        <v>1.7075773745998113E-3</v>
      </c>
      <c r="E20" s="43">
        <v>2.3740999999999999</v>
      </c>
      <c r="G20" s="44">
        <f>1-E20/$E$19</f>
        <v>0.35023810827084134</v>
      </c>
    </row>
    <row r="22" spans="1:11" ht="15.75" customHeight="1" x14ac:dyDescent="0.25">
      <c r="A22" s="2" t="s">
        <v>248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4" spans="1:11" x14ac:dyDescent="0.25">
      <c r="A24" s="21" t="s">
        <v>249</v>
      </c>
    </row>
    <row r="25" spans="1:11" ht="43.5" customHeight="1" x14ac:dyDescent="0.25">
      <c r="A25" s="7" t="s">
        <v>250</v>
      </c>
      <c r="B25" s="7" t="s">
        <v>251</v>
      </c>
      <c r="C25" s="7" t="s">
        <v>54</v>
      </c>
      <c r="D25" s="7" t="s">
        <v>58</v>
      </c>
      <c r="E25" s="7" t="s">
        <v>252</v>
      </c>
    </row>
    <row r="26" spans="1:11" x14ac:dyDescent="0.25">
      <c r="A26" s="10" t="s">
        <v>253</v>
      </c>
      <c r="B26" s="9" t="s">
        <v>254</v>
      </c>
      <c r="C26" s="37"/>
      <c r="D26" s="37"/>
      <c r="E26" s="38"/>
    </row>
    <row r="27" spans="1:11" x14ac:dyDescent="0.25">
      <c r="A27" s="10" t="s">
        <v>255</v>
      </c>
      <c r="B27" s="9" t="s">
        <v>256</v>
      </c>
      <c r="C27" s="37"/>
      <c r="D27" s="37"/>
      <c r="E27" s="38"/>
    </row>
    <row r="28" spans="1:11" x14ac:dyDescent="0.25">
      <c r="A28" s="10" t="s">
        <v>255</v>
      </c>
      <c r="B28" s="9" t="s">
        <v>257</v>
      </c>
      <c r="C28" s="37"/>
      <c r="D28" s="37"/>
      <c r="E28" s="38"/>
    </row>
    <row r="29" spans="1:11" x14ac:dyDescent="0.25">
      <c r="A29" s="10" t="s">
        <v>258</v>
      </c>
      <c r="B29" s="9" t="s">
        <v>259</v>
      </c>
      <c r="C29" s="37"/>
      <c r="D29" s="37"/>
      <c r="E29" s="38"/>
    </row>
    <row r="30" spans="1:11" ht="25.5" x14ac:dyDescent="0.25">
      <c r="A30" s="10" t="s">
        <v>260</v>
      </c>
      <c r="B30" s="9" t="s">
        <v>261</v>
      </c>
      <c r="C30" s="37"/>
      <c r="D30" s="37"/>
      <c r="E30" s="38"/>
    </row>
  </sheetData>
  <mergeCells count="1">
    <mergeCell ref="A22:K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TomTat_SuaLoi</vt:lpstr>
      <vt:lpstr>GD2_Baseline</vt:lpstr>
      <vt:lpstr>GD3_FixedContext</vt:lpstr>
      <vt:lpstr>GD35_LoRA</vt:lpstr>
      <vt:lpstr>CanChayLai</vt:lpstr>
      <vt:lpstr>GD5_MauBang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thanhthao</cp:lastModifiedBy>
  <cp:revision>0</cp:revision>
  <dcterms:created xsi:type="dcterms:W3CDTF">2026-10-03T00:50:32Z</dcterms:created>
  <dcterms:modified xsi:type="dcterms:W3CDTF">2026-10-03T07:01:03Z</dcterms:modified>
  <dc:language>en-US</dc:language>
</cp:coreProperties>
</file>