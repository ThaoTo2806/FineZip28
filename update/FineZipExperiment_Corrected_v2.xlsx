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mTat_SuaLoi" sheetId="1" state="visible" r:id="rId3"/>
    <sheet name="GD2_Baseline" sheetId="2" state="visible" r:id="rId4"/>
    <sheet name="GD3_FixedContext" sheetId="3" state="visible" r:id="rId5"/>
    <sheet name="GD35_LoRA" sheetId="4" state="visible" r:id="rId6"/>
    <sheet name="CanChayLai" sheetId="5" state="visible" r:id="rId7"/>
    <sheet name="GD4_KetQua" sheetId="6" state="visible" r:id="rId8"/>
    <sheet name="GD5_MauBa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<sst xmlns="http://schemas.openxmlformats.org/spreadsheetml/2006/main" count="448" uniqueCount="331">
  <si>
    <t xml:space="preserve">FineZip — bảng số liệu đã sửa &amp; danh sách lỗi</t>
  </si>
  <si>
    <t xml:space="preserve">Mọi con số gốc lấy từ FineZipExperiment.xlsx và 5 notebook đã tải lên; công thức tính lại nằm ở các sheet GD*.</t>
  </si>
  <si>
    <t xml:space="preserve">Có bắt buộc chạy lại không?</t>
  </si>
  <si>
    <t xml:space="preserve">KHÔNG để sửa bảng: các lỗi 1–6 chỉ là tính toán/trình bày lại từ số đã có. Cần bổ sung (không bắt buộc cho phần sửa): đo kích thước adapter (không cần GPU), thời gian giải nén + GPU peak của FineZip (vài chục phút, đề bài có yêu cầu). Chi tiết ở sheet CanChayLai.</t>
  </si>
  <si>
    <t xml:space="preserve">#</t>
  </si>
  <si>
    <t xml:space="preserve">Vấn đề trong bản gốc</t>
  </si>
  <si>
    <t xml:space="preserve">Bản gốc ghi</t>
  </si>
  <si>
    <t xml:space="preserve">Sau khi sửa</t>
  </si>
  <si>
    <t xml:space="preserve">Chạy lại?</t>
  </si>
  <si>
    <t xml:space="preserve">Cột 'Compressed size ≈ B' của LLMZip-lite sai ở ctx 32–256 (chia bit cho 10 thay vì 8)</t>
  </si>
  <si>
    <t xml:space="preserve">149,487 / 134,948 / 125,485 / 116,416 B</t>
  </si>
  <si>
    <t xml:space="preserve">≈ 186,860 / 168,685 / 156,856 / 145,521 B (GD3_FixedContext, mục B). Cột ratio trước đây đã đúng.</t>
  </si>
  <si>
    <t xml:space="preserve">Không</t>
  </si>
  <si>
    <t xml:space="preserve">Hai quy ước 'ratio' trộn lẫn (gốc/nén và nén/gốc)</t>
  </si>
  <si>
    <t xml:space="preserve">0.18686 cạnh 5.352×</t>
  </si>
  <si>
    <t xml:space="preserve">Chuẩn hoá: Ratio = gốc/nén (×); Compressed % = nén/gốc (cùng quy ước paper).</t>
  </si>
  <si>
    <t xml:space="preserve">Bảng LoRA so sánh sai cặp (khác pipeline)</t>
  </si>
  <si>
    <t xml:space="preserve">GPT-2 128: 4.154× vs LoRA 6.657×</t>
  </si>
  <si>
    <t xml:space="preserve">Cùng AC: 6.375× → 6.657× (ctx128), 7.028× → 7.363× (ctx512): giảm kích thước 4.2% / 4.6% (GD35_LoRA, mục 1).</t>
  </si>
  <si>
    <t xml:space="preserve">Chưa tính kích thước adapter vào file nén</t>
  </si>
  <si>
    <t xml:space="preserve">3,253,104 bytes (≈3.10 MiB)</t>
  </si>
  <si>
    <t xml:space="preserve">Adapter 811.008 tham số ≈ 1.6 MB (fp16) – 3.2 MB (fp32) ≫ file nén 136 KB → ở 1 MB LoRA không có lợi ròng; điểm hoà vốn ≳ 250 MB (GD35_LoRA, mục 2).</t>
  </si>
  <si>
    <t xml:space="preserve">Chỉ cần đo adapter thật (ls) done</t>
  </si>
  <si>
    <t xml:space="preserve">Thời gian so sánh khác batch (LLMZip-lite &amp; FineZip ctx32 batch 1; FineZip GĐ3 batch 64)</t>
  </si>
  <si>
    <t xml:space="preserve">FineZip ctx32: 2740 s (GĐ2) vs 61.6 s (GĐ3)</t>
  </si>
  <si>
    <t xml:space="preserve">Thêm cột Batch; hệ số 45× chỉ do batch (GD2_Baseline!B19). Không kết luận 'FineZip nhanh hơn LLMZip-lite N lần'.</t>
  </si>
  <si>
    <t xml:space="preserve">Không (tuỳ chọn: cùng batch)</t>
  </si>
  <si>
    <t xml:space="preserve">Hai lần đo thời gian enc FineZip khác nhau</t>
  </si>
  <si>
    <t xml:space="preserve">61.6 / 67.2 / 83.0 / 114.3 / 178.8 vs 60.8 / 69.1 / 88.8 / 124.8 / 199.0</t>
  </si>
  <si>
    <t xml:space="preserve">Giữ cả hai, dùng số từ file .txt, hiển thị độ lệch 3–11%.</t>
  </si>
  <si>
    <t xml:space="preserve">Tuỳ chọn</t>
  </si>
  <si>
    <t xml:space="preserve">Mô tả pipeline sai ('FineZip của nhóm = context cố định + arithmetic coding')</t>
  </si>
  <si>
    <t xml:space="preserve">Sheet 'Đánh giá từng giai đoạn'</t>
  </si>
  <si>
    <t xml:space="preserve">eval_clean.py (FineZip) = rank + bzip2, chunk, batch. eval_ac.py ('LLMZip-lite') = AC + cửa sổ trượt. 'Context' hai bên khác nghĩa.</t>
  </si>
  <si>
    <t xml:space="preserve">'Training time/memory của LoRA chưa có'</t>
  </si>
  <si>
    <t xml:space="preserve">⚠ chưa có</t>
  </si>
  <si>
    <t xml:space="preserve">Đã có trong notebook: 48.6 s, peak 2,749 MiB allocated / 3,024 MiB reserved (GD35_LoRA, mục 4).</t>
  </si>
  <si>
    <t xml:space="preserve">Thiếu thời gian giải nén &amp; GPU peak theo từng ctx (FineZip)</t>
  </si>
  <si>
    <t xml:space="preserve">Để trống / '...'</t>
  </si>
  <si>
    <t xml:space="preserve">Đánh dấu vàng 'CHƯA ĐO'. LLMZip-lite: dec ctx 32 đã đo, còn lại ghi ước tính ≈ enc.</t>
  </si>
  <si>
    <t xml:space="preserve">Nên (FineZip)</t>
  </si>
  <si>
    <t xml:space="preserve">Hai số GPU memory mâu thuẫn</t>
  </si>
  <si>
    <t xml:space="preserve">991 vs 1962 MiB</t>
  </si>
  <si>
    <t xml:space="preserve">Khác phạm vi đo (file 1 MB lúc nén vs test 315 B ở GĐ1); ghi chú, chưa kết luận.</t>
  </si>
  <si>
    <t xml:space="preserve">Nên đo lại cùng điều kiện</t>
  </si>
  <si>
    <t xml:space="preserve">Giai đoạn 2 — Baseline trên 1 MB enwik8 (đã sửa)</t>
  </si>
  <si>
    <t xml:space="preserve">Chữ xanh = số lấy từ notebook/Excel cũ (input) · đen = công thức · xanh lá = liên kết sheet khác · vàng đỏ = chưa đo</t>
  </si>
  <si>
    <t xml:space="preserve">Original (bytes)</t>
  </si>
  <si>
    <t xml:space="preserve">Ký tự (chars, UTF-8 giải mã)</t>
  </si>
  <si>
    <t xml:space="preserve">Token GPT-2</t>
  </si>
  <si>
    <t xml:space="preserve">Method</t>
  </si>
  <si>
    <t xml:space="preserve">Model</t>
  </si>
  <si>
    <t xml:space="preserve">Pipeline</t>
  </si>
  <si>
    <t xml:space="preserve">Context</t>
  </si>
  <si>
    <t xml:space="preserve">Batch</t>
  </si>
  <si>
    <t xml:space="preserve">AC bits (nếu có)</t>
  </si>
  <si>
    <t xml:space="preserve">Compressed (B)</t>
  </si>
  <si>
    <t xml:space="preserve">Ratio (gốc/nén)</t>
  </si>
  <si>
    <t xml:space="preserve">Compressed % (nén/gốc)</t>
  </si>
  <si>
    <t xml:space="preserve">Bits/char</t>
  </si>
  <si>
    <t xml:space="preserve">Enc (s)</t>
  </si>
  <si>
    <t xml:space="preserve">Dec (s)</t>
  </si>
  <si>
    <t xml:space="preserve">GPU peak (MiB)</t>
  </si>
  <si>
    <t xml:space="preserve">Lossless</t>
  </si>
  <si>
    <t xml:space="preserve">Tiết kiệm so với bzip2</t>
  </si>
  <si>
    <t xml:space="preserve">Ghi chú</t>
  </si>
  <si>
    <t xml:space="preserve">gzip</t>
  </si>
  <si>
    <t xml:space="preserve">-</t>
  </si>
  <si>
    <t xml:space="preserve">DEFLATE</t>
  </si>
  <si>
    <t xml:space="preserve">✓</t>
  </si>
  <si>
    <t xml:space="preserve">GĐ2</t>
  </si>
  <si>
    <t xml:space="preserve">bzip2</t>
  </si>
  <si>
    <t xml:space="preserve">BWT</t>
  </si>
  <si>
    <t xml:space="preserve">LLMZip-lite</t>
  </si>
  <si>
    <t xml:space="preserve">GPT-2</t>
  </si>
  <si>
    <t xml:space="preserve">AC + cửa sổ trượt (eval_ac.py)</t>
  </si>
  <si>
    <t xml:space="preserve">Lần chạy GĐ3 đo lại enc = 2938.72 s. Bytes = ROUNDUP(bits/8).</t>
  </si>
  <si>
    <t xml:space="preserve">FineZip</t>
  </si>
  <si>
    <t xml:space="preserve">rank + bzip2, chunk (eval_clean.py)</t>
  </si>
  <si>
    <t xml:space="preserve">batch 1</t>
  </si>
  <si>
    <t xml:space="preserve">CHƯA ĐO</t>
  </si>
  <si>
    <t xml:space="preserve">batch 64 (số của GĐ3). Enc lấy từ dòng cuối file .txt.</t>
  </si>
  <si>
    <t xml:space="preserve">Hệ số suy ra từ bảng trên</t>
  </si>
  <si>
    <t xml:space="preserve">LLMZip-lite so với gzip (×)</t>
  </si>
  <si>
    <t xml:space="preserve">LLMZip-lite so với bzip2 (×)</t>
  </si>
  <si>
    <t xml:space="preserve">FineZip (bs=1) so với bzip2 (×)</t>
  </si>
  <si>
    <t xml:space="preserve">Tăng tốc do batch: FineZip ctx32, bs 1 → bs 64 (×)</t>
  </si>
  <si>
    <t xml:space="preserve">Chênh kích thước FineZip bs1 − bs64 (B)</t>
  </si>
  <si>
    <t xml:space="preserve">⚠ Thời gian giữa các dòng KHÔNG so được thẳng: LLMZip-lite &amp; FineZip(bs=1) chạy tuần tự (batch 1); FineZip(bs=64) chạy song song. Phần lớn chênh lệch tốc độ đến từ batch (ô B19), không phải từ thuật toán.</t>
  </si>
  <si>
    <t xml:space="preserve">⚠ 'Context 32' ở hai pipeline khác nghĩa: LLMZip-lite = mọi token thấy 32 token trước (cửa sổ trượt); FineZip = chunk dài 32, token thứ i chỉ thấy i−1 token trong chunk.</t>
  </si>
  <si>
    <t xml:space="preserve">⚠ GPU peak: 993–996 MiB (GĐ2) khác 1962 MiB (GĐ1, file test 315 B). Hai lần đo khác phạm vi → chưa kết luận; cần reset_peak_memory_stats() ngay trước mỗi lần nén.</t>
  </si>
  <si>
    <t xml:space="preserve">Giai đoạn 3 — Fixed Context 32…512 (đã sửa)</t>
  </si>
  <si>
    <t xml:space="preserve">Cùng 1 MB enwik8, GPT-2, Kaggle T4</t>
  </si>
  <si>
    <t xml:space="preserve">Original (B)</t>
  </si>
  <si>
    <t xml:space="preserve">Chars</t>
  </si>
  <si>
    <t xml:space="preserve">A. FineZip (rank + bzip2, chunk, batch 64)</t>
  </si>
  <si>
    <t xml:space="preserve">Context (độ dài chunk)</t>
  </si>
  <si>
    <t xml:space="preserve">Compressed %</t>
  </si>
  <si>
    <t xml:space="preserve">Δ ratio so với ctx 32</t>
  </si>
  <si>
    <t xml:space="preserve">Enc (s) — từ file .txt</t>
  </si>
  <si>
    <t xml:space="preserve">Thời gian ×  so với ctx 32</t>
  </si>
  <si>
    <t xml:space="preserve">Enc (s) — bảng thô Excel cũ</t>
  </si>
  <si>
    <t xml:space="preserve">Lệch giữa 2 lần đo</t>
  </si>
  <si>
    <t xml:space="preserve">Bit tiết kiệm / giây thêm (so mức trước)</t>
  </si>
  <si>
    <t xml:space="preserve">Cột L = số bit tiết kiệm được cho mỗi giây tính thêm khi tăng context lên mức này. Đây chính là thang đo cho tham số λ của DPPolicy (adaptive_context_finezip.py): λ &gt; giá trị ở hàng nào thì chính sách sẽ KHÔNG chọn lên mức đó.</t>
  </si>
  <si>
    <t xml:space="preserve">Hai lần đo thời gian (cột F và H) khác nhau 3–11%: chưa rõ nguyên nhân (khác phiên Kaggle / cách đo). Báo cáo dùng cột F (truy được tới notebook), ghi rõ sai số.</t>
  </si>
  <si>
    <t xml:space="preserve">B. LLMZip-lite (arithmetic coding, cửa sổ trượt, batch 1)</t>
  </si>
  <si>
    <t xml:space="preserve">Context (cửa sổ trượt)</t>
  </si>
  <si>
    <t xml:space="preserve">AC bits</t>
  </si>
  <si>
    <t xml:space="preserve">Compressed (B) = ROUNDUP(bits/8)</t>
  </si>
  <si>
    <t xml:space="preserve">Thời gian × so với ctx 32</t>
  </si>
  <si>
    <t xml:space="preserve">Bit tiết kiệm / giây thêm</t>
  </si>
  <si>
    <t xml:space="preserve">Dec ctx 32 = số đo ở GĐ2 (2851 s ≈ 0.97 × enc). Các ctx còn lại chưa đo; có thể ghi 'ước tính ≈ enc' (dec/enc = 0.97–1.01 ở các lần đo GĐ2) thay vì chạy lại ~4 giờ cho ctx 512.</t>
  </si>
  <si>
    <t xml:space="preserve">C. Đặt cạnh nhau (tham khảo — KHÔNG phải cuộc thi trực tiếp, xem ghi chú)</t>
  </si>
  <si>
    <t xml:space="preserve">Ratio FineZip</t>
  </si>
  <si>
    <t xml:space="preserve">Ratio LLMZip-lite</t>
  </si>
  <si>
    <t xml:space="preserve">LLMZip-lite / FineZip (ratio)</t>
  </si>
  <si>
    <t xml:space="preserve">Enc FineZip (s)</t>
  </si>
  <si>
    <t xml:space="preserve">Enc LLMZip-lite (s)</t>
  </si>
  <si>
    <t xml:space="preserve">LLMZip-lite / FineZip (thời gian)</t>
  </si>
  <si>
    <t xml:space="preserve">Không kết luận 'FineZip kém LLMZip-lite' hay 'nhanh hơn N lần' từ bảng này: khác lược đồ mã hoá (rank+bzip2 vs AC), khác ngữ nghĩa context, khác batch (64 vs 1). Muốn so công bằng cần cùng batch và cùng pipeline mã hoá.</t>
  </si>
  <si>
    <t xml:space="preserve">Giai đoạn 3.5 — LoRA / online memorization (đã sửa)</t>
  </si>
  <si>
    <t xml:space="preserve">So sánh đúng cặp: CÙNG pipeline arithmetic coding, cùng cửa sổ trượt, chỉ khác có/không LoRA</t>
  </si>
  <si>
    <t xml:space="preserve">Số tham số LoRA (notebook: trainable params)</t>
  </si>
  <si>
    <t xml:space="preserve">Byte / tham số (fp16)</t>
  </si>
  <si>
    <t xml:space="preserve">Byte / tham số (fp32)</t>
  </si>
  <si>
    <t xml:space="preserve">Kích thước adapter ĐO THẬT (B) — điền sau khi chạy ls -l</t>
  </si>
  <si>
    <t xml:space="preserve">Adapter dùng để tính (đo thật nếu có, nếu không = fp16 ước tính)</t>
  </si>
  <si>
    <t xml:space="preserve">Adapter fp32 ước tính (B)</t>
  </si>
  <si>
    <t xml:space="preserve">1. LoRA vs không LoRA — cùng pipeline AC</t>
  </si>
  <si>
    <t xml:space="preserve">AC bits (không LoRA)</t>
  </si>
  <si>
    <t xml:space="preserve">AC bits (LoRA)</t>
  </si>
  <si>
    <t xml:space="preserve">Bytes (không LoRA)</t>
  </si>
  <si>
    <t xml:space="preserve">Bytes (LoRA)</t>
  </si>
  <si>
    <t xml:space="preserve">Ratio (không LoRA)</t>
  </si>
  <si>
    <t xml:space="preserve">Ratio (LoRA)</t>
  </si>
  <si>
    <t xml:space="preserve">Giảm kích thước nhờ LoRA</t>
  </si>
  <si>
    <t xml:space="preserve">Bits/char (không LoRA)</t>
  </si>
  <si>
    <t xml:space="preserve">Bits/char (LoRA)</t>
  </si>
  <si>
    <t xml:space="preserve">Enc (s) không LoRA</t>
  </si>
  <si>
    <t xml:space="preserve">Enc (s) LoRA</t>
  </si>
  <si>
    <t xml:space="preserve">Thời gian tăng</t>
  </si>
  <si>
    <t xml:space="preserve">Bảng gốc đặt FineZip-rank 4.154× cạnh LoRA-AC 6.657× (khác pipeline) nên trông như LoRA cải thiện ~60%. Đúng cặp: LoRA chỉ giảm kích thước khoảng 4–5% (cột H).</t>
  </si>
  <si>
    <t xml:space="preserve">LoRA chạy chậm hơn (cột M) vì adapter chưa merge: có thể thử model.merge_and_unload() trước khi nén để bỏ chi phí suy luận thêm. Hai lần đo có thể khác phiên Kaggle → coi là xu hướng.</t>
  </si>
  <si>
    <t xml:space="preserve">2. Tính cả chi phí lưu adapter (phải gửi kèm file nén để giải nén được)</t>
  </si>
  <si>
    <t xml:space="preserve">File nén LoRA (B)</t>
  </si>
  <si>
    <t xml:space="preserve">+ adapter (B)</t>
  </si>
  <si>
    <t xml:space="preserve">Ratio ròng (gốc / (nén + adapter))</t>
  </si>
  <si>
    <t xml:space="preserve">bzip2 (B)</t>
  </si>
  <si>
    <t xml:space="preserve">Ròng so với bzip2</t>
  </si>
  <si>
    <t xml:space="preserve">Tiết kiệm / 1 MB dữ liệu so với không LoRA (B)</t>
  </si>
  <si>
    <t xml:space="preserve">Điểm hoà vốn: dữ liệu gốc cần ≥ (MB)</t>
  </si>
  <si>
    <t xml:space="preserve">Giả định (nên ghi trong báo cáo): adapter có kích thước cố định; mức tiết kiệm tăng tuyến tính theo dung lượng dữ liệu. Thực tế adapter cố định 'nhớ' được ít hơn trên dữ liệu lớn → điểm hoà vốn thật có thể XA hơn con số này. Ở 1 MB, LoRA không có lợi ròng.</t>
  </si>
  <si>
    <t xml:space="preserve">3. Loss / perplexity (hai phép đo khác tập, KHÔNG so với nhau)</t>
  </si>
  <si>
    <t xml:space="preserve">Phép đo</t>
  </si>
  <si>
    <t xml:space="preserve">Tập đánh giá</t>
  </si>
  <si>
    <t xml:space="preserve">Loss trước</t>
  </si>
  <si>
    <t xml:space="preserve">Loss sau</t>
  </si>
  <si>
    <t xml:space="preserve">Δ loss</t>
  </si>
  <si>
    <t xml:space="preserve">PPL trước</t>
  </si>
  <si>
    <t xml:space="preserve">PPL sau</t>
  </si>
  <si>
    <t xml:space="preserve">Δ PPL</t>
  </si>
  <si>
    <t xml:space="preserve">Trong script huấn luyện</t>
  </si>
  <si>
    <t xml:space="preserve">559 khối × 512 = 286.208 token (chính là dữ liệu huấn luyện)</t>
  </si>
  <si>
    <t xml:space="preserve">In-sample → đúng ý 'memorization'.</t>
  </si>
  <si>
    <t xml:space="preserve">Đánh giá nhanh (ctx 512)</t>
  </si>
  <si>
    <t xml:space="preserve">16.352 token đầu của file</t>
  </si>
  <si>
    <t xml:space="preserve">Một lát nhỏ; không phải toàn bộ 286.273 token.</t>
  </si>
  <si>
    <t xml:space="preserve">4. Cấu hình &amp; chi phí huấn luyện LoRA (ĐÃ CÓ trong notebook versionn3_5_1, ô 115 — Excel cũ ghi 'chưa có')</t>
  </si>
  <si>
    <t xml:space="preserve">Mô hình / target</t>
  </si>
  <si>
    <t xml:space="preserve">GPT-2 · c_attn, c_proj</t>
  </si>
  <si>
    <t xml:space="preserve">r / alpha / dropout</t>
  </si>
  <si>
    <t xml:space="preserve">8 / 16 / 0.05</t>
  </si>
  <si>
    <t xml:space="preserve">Epoch · batch · grad accum · lr</t>
  </si>
  <si>
    <t xml:space="preserve">1 · 2 · 4 · 2e-4</t>
  </si>
  <si>
    <t xml:space="preserve">Thời gian huấn luyện (s)</t>
  </si>
  <si>
    <t xml:space="preserve">Peak GPU allocated (MiB)</t>
  </si>
  <si>
    <t xml:space="preserve">Peak GPU reserved (MiB)</t>
  </si>
  <si>
    <t xml:space="preserve">Tham số huấn luyện / tổng</t>
  </si>
  <si>
    <t xml:space="preserve">811,008 / 125,250,816 (0.6475%)</t>
  </si>
  <si>
    <t xml:space="preserve">Ngắn gọn: KHÔNG cần chạy lại để sửa các bảng. Chỉ có vài việc bổ sung nhỏ (cột 'Mức độ').</t>
  </si>
  <si>
    <t xml:space="preserve">Việc</t>
  </si>
  <si>
    <t xml:space="preserve">Mức độ</t>
  </si>
  <si>
    <t xml:space="preserve">Vì sao</t>
  </si>
  <si>
    <t xml:space="preserve">Chi phí ước tính</t>
  </si>
  <si>
    <t xml:space="preserve">Cách làm</t>
  </si>
  <si>
    <t xml:space="preserve">Sửa bytes/ratio LLMZip-lite, chuẩn hoá ratio, cặp so sánh LoRA, cộng adapter</t>
  </si>
  <si>
    <t xml:space="preserve">Không cần chạy lại</t>
  </si>
  <si>
    <t xml:space="preserve">Chỉ là tính lại từ số đã có (đã làm trong file này).</t>
  </si>
  <si>
    <t xml:space="preserve">0</t>
  </si>
  <si>
    <t xml:space="preserve">—</t>
  </si>
  <si>
    <t xml:space="preserve">Đo kích thước adapter thật</t>
  </si>
  <si>
    <t xml:space="preserve">ĐÃ XONG — adapter = 3,253,104 B (điền ở GD35_LoRA!B8)</t>
  </si>
  <si>
    <t xml:space="preserve">Hiện chỉ ước tính 1.6–3.2 MB. Số thật làm bảng 'hoà vốn' chính xác.</t>
  </si>
  <si>
    <t xml:space="preserve">&lt; 1 phút</t>
  </si>
  <si>
    <t xml:space="preserve">!ls -l /kaggle/working/finezip_experiment/lora_gpt2_1mb  → điền vào GD35_LoRA!B8</t>
  </si>
  <si>
    <t xml:space="preserve">FineZip: thời gian GIẢI NÉN và GPU peak cho 5 context (bs 64)</t>
  </si>
  <si>
    <t xml:space="preserve">Đã đo cho Adaptive λ=1000/5000 (dec, GPU peak). FineZip fixed vẫn CHƯA đo</t>
  </si>
  <si>
    <t xml:space="preserve">Đang thiếu; decode tự hồi quy có thể nặng hơn encode, và DPPolicy cần mô hình thời gian đúng.</t>
  </si>
  <si>
    <t xml:space="preserve">Chưa biết chính xác (chưa từng đo decode ở bs 64); ước tính vài chục phút</t>
  </si>
  <si>
    <t xml:space="preserve">Gọi unzip/decompress có bọc time.perf_counter(); reset_peak_memory_stats() trước mỗi lần. Gộp luôn việc chốt lại thời gian enc (dòng dưới).</t>
  </si>
  <si>
    <t xml:space="preserve">Chốt lại thời gian enc FineZip (2 lần đo lệch 3–11%)</t>
  </si>
  <si>
    <t xml:space="preserve">Không đổi kết luận; có thể chỉ ghi sai số.</t>
  </si>
  <si>
    <t xml:space="preserve">~10 phút nếu gộp với việc trên</t>
  </si>
  <si>
    <t xml:space="preserve">Chạy lại 5 ctx 1 lần, lấy trung bình.</t>
  </si>
  <si>
    <t xml:space="preserve">LLMZip-lite: dec time cho ctx 64–512</t>
  </si>
  <si>
    <t xml:space="preserve">Không nên chạy</t>
  </si>
  <si>
    <t xml:space="preserve">Chạy ctx 512 mất ~4 giờ; dec ≈ enc ở các lần đo (0.97–1.01).</t>
  </si>
  <si>
    <t xml:space="preserve">~8 giờ</t>
  </si>
  <si>
    <t xml:space="preserve">Ghi 'ước tính ≈ enc', nói rõ chỉ đo thật ở ctx 32.</t>
  </si>
  <si>
    <t xml:space="preserve">So sánh thời gian công bằng cùng batch</t>
  </si>
  <si>
    <t xml:space="preserve">Tuỳ chọn, nên có</t>
  </si>
  <si>
    <t xml:space="preserve">Hiện batch 1 vs 64 làm chênh ~45× chỉ do batch.</t>
  </si>
  <si>
    <t xml:space="preserve">vài phút/ctx</t>
  </si>
  <si>
    <t xml:space="preserve">eval_ac.py --batch_size 64 (nếu hỗ trợ như README mô tả); ghi rõ kích thước file có thể tăng nhẹ do nhiều luồng AC.</t>
  </si>
  <si>
    <t xml:space="preserve">LoRA cho pipeline FineZip thật (rank + bzip2)</t>
  </si>
  <si>
    <t xml:space="preserve">Nên làm</t>
  </si>
  <si>
    <t xml:space="preserve">Hiện LoRA mới chạy với AC; 'FineZip' trong paper là rank+bzip2+LoRA.</t>
  </si>
  <si>
    <t xml:space="preserve">Repo có nhánh finetuned_models trong memory_eval(); nạp PeftModel rồi chạy ctx 128/512.</t>
  </si>
  <si>
    <t xml:space="preserve">Dữ liệu thứ hai / lát khác của enwik8</t>
  </si>
  <si>
    <t xml:space="preserve">Bắt buộc cho GĐ5</t>
  </si>
  <si>
    <t xml:space="preserve">Adaptive chỉ có ý nghĩa khi văn bản không đồng nhất; 1 lát 1 MB chưa đủ kết luận.</t>
  </si>
  <si>
    <t xml:space="preserve">Ghép wiki + code + bảng số, hoặc lát 5–10 MB.</t>
  </si>
  <si>
    <t xml:space="preserve">GĐ4–5: Adaptive Context, Fixed vs Adaptive, ablation</t>
  </si>
  <si>
    <t xml:space="preserve">Bắt buộc (chưa làm)</t>
  </si>
  <si>
    <t xml:space="preserve">Đây là đóng góp riêng.</t>
  </si>
  <si>
    <t xml:space="preserve">Prototype trên Kaggle, bản cuối trên 4090</t>
  </si>
  <si>
    <t xml:space="preserve">Xem adaptive_context_finezip.py và sheet GD5_MauBang.</t>
  </si>
  <si>
    <t xml:space="preserve">Giai đoạn 4 — Kết quả Adaptive-DP trên 1 MB enwik8 (GPT-2, Kaggle T4)</t>
  </si>
  <si>
    <t xml:space="preserve">Nguồn: adaptive_results.json, adaptive_results (1).json, adaptive_results_v2.json. Chữ xanh = số đo; đen = công thức; xanh lá = liên kết sheet; xám nghiêng = ước tính.</t>
  </si>
  <si>
    <t xml:space="preserve">Token (GPT-2)</t>
  </si>
  <si>
    <t xml:space="preserve">L →</t>
  </si>
  <si>
    <t xml:space="preserve">A. Nhật ký các lần chạy</t>
  </si>
  <si>
    <t xml:space="preserve">Run</t>
  </si>
  <si>
    <t xml:space="preserve">Codec</t>
  </si>
  <si>
    <t xml:space="preserve">eps</t>
  </si>
  <si>
    <t xml:space="preserve">Dec / Enc</t>
  </si>
  <si>
    <t xml:space="preserve">GPU peak dec (MiB)</t>
  </si>
  <si>
    <t xml:space="preserve">n32</t>
  </si>
  <si>
    <t xml:space="preserve">n64</t>
  </si>
  <si>
    <t xml:space="preserve">n128</t>
  </si>
  <si>
    <t xml:space="preserve">n256</t>
  </si>
  <si>
    <t xml:space="preserve">n512</t>
  </si>
  <si>
    <t xml:space="preserve">Σ n·L²</t>
  </si>
  <si>
    <t xml:space="preserve">Dec / Σn·L² (×1e-5 s)</t>
  </si>
  <si>
    <t xml:space="preserve">Dec ước tính (s)</t>
  </si>
  <si>
    <t xml:space="preserve">λ=1000</t>
  </si>
  <si>
    <t xml:space="preserve">v1 (không escape)</t>
  </si>
  <si>
    <t xml:space="preserve">SAI ✗</t>
  </si>
  <si>
    <t xml:space="preserve">Lệch rank theo nhóm batch (ranh giới 1024). Kích thước KHÔNG hợp lệ vì file không giải nén được.</t>
  </si>
  <si>
    <t xml:space="preserve">v2 + escape</t>
  </si>
  <si>
    <t xml:space="preserve">ĐÚNG ✓</t>
  </si>
  <si>
    <t xml:space="preserve">eps ×10 từ max nhiễu → 44,2% token bị escape.</t>
  </si>
  <si>
    <t xml:space="preserve">eps theo p99.99 → vẫn 41,6% escape (nhiễu thật ~0,02).</t>
  </si>
  <si>
    <t xml:space="preserve">v3 (không escape)</t>
  </si>
  <si>
    <t xml:space="preserve">KẾT QUẢ CHÍNH λ=1000. Header 278 B (thẻ môi trường + kế hoạch batch).</t>
  </si>
  <si>
    <t xml:space="preserve">λ=5000</t>
  </si>
  <si>
    <t xml:space="preserve">Cùng batch lúc nén và giải nén. Nên nén lại bằng v3.</t>
  </si>
  <si>
    <t xml:space="preserve">λ=12000</t>
  </si>
  <si>
    <t xml:space="preserve">CHƯA KIỂM TRA</t>
  </si>
  <si>
    <t xml:space="preserve">λ=40000</t>
  </si>
  <si>
    <t xml:space="preserve">Cột R (xám) chỉ là ước tính thô: chi phí giải nén ≈ c·L² mỗi chunk với c lấy trung bình từ hai lần đo λ=1000(v3) và λ=5000. Chỉ có 2 điểm đo → dùng để lập kế hoạch, không đưa vào báo cáo như số đo. Enc gần như hằng (173–196 s) ở mọi λ nên không phản ánh chi phí theo chunk.</t>
  </si>
  <si>
    <t xml:space="preserve">B. Chi phí của escape (run λ=1000 v2, eps=0.20, so với v1 cùng layout)</t>
  </si>
  <si>
    <t xml:space="preserve">Số escape</t>
  </si>
  <si>
    <t xml:space="preserve">Đọc: escape tốn ~15,6 bit/token, đắt hơn gấp 2,6 lần mã hoá rank bình thường (~6 bit). eps=0,20 ứng với nhiễu đo được ~0,02 trong logit — rất lớn cho float32, nghi bị chi phối bởi một vị trí/ trường hợp ngoại lệ (vd. vị trí đầu chunk hoặc phép thử placeholder) chứ không phải nhiễu thông thường. Cần chẩn đoán trước khi chọn lại eps.</t>
  </si>
  <si>
    <t xml:space="preserve">% token bị escape</t>
  </si>
  <si>
    <t xml:space="preserve">Byte của phần escape</t>
  </si>
  <si>
    <t xml:space="preserve">Bit / escape</t>
  </si>
  <si>
    <t xml:space="preserve">Byte rank + layout (phần còn lại)</t>
  </si>
  <si>
    <t xml:space="preserve">Bit / token của v1 (tham chiếu)</t>
  </si>
  <si>
    <t xml:space="preserve">Phụ phí do escape (B) = v2 − v1</t>
  </si>
  <si>
    <t xml:space="preserve">Phụ phí tương đối</t>
  </si>
  <si>
    <t xml:space="preserve">Nhiễu logit suy ra (eps / margin 10)</t>
  </si>
  <si>
    <t xml:space="preserve">C. So với Fixed ở cùng chi phí giải nén (tham khảo — Fixed lấy từ GĐ3, khuôn mã hoá KHÁC)</t>
  </si>
  <si>
    <t xml:space="preserve">L̄ theo token = Σn·L² / Σn·L</t>
  </si>
  <si>
    <t xml:space="preserve">Fixed nội suy log₂ (B)</t>
  </si>
  <si>
    <t xml:space="preserve">Adaptive (B) (λ=1000: v3; còn lại v1)</t>
  </si>
  <si>
    <t xml:space="preserve">Chênh Adaptive − Fixed</t>
  </si>
  <si>
    <t xml:space="preserve">Cặp Fixed dùng để nội suy</t>
  </si>
  <si>
    <t xml:space="preserve">Fixed-256 &amp; Fixed-512</t>
  </si>
  <si>
    <t xml:space="preserve">Fixed-128 &amp; Fixed-256</t>
  </si>
  <si>
    <t xml:space="preserve">Fixed-64 &amp; Fixed-128</t>
  </si>
  <si>
    <t xml:space="preserve">Fixed-32 &amp; Fixed-64</t>
  </si>
  <si>
    <t xml:space="preserve">Vì sao L̄: nếu giải nén tốn c·L² mỗi chunk thì chi phí ≈ Σ n·L² = N·L̄, tức tương đương Fixed có L = L̄. Kết quả sơ bộ: ở cùng L̄, Adaptive lớn hơn Fixed nội suy khoảng 1–2% → CHƯA có bằng chứng Adaptive thắng Fixed. Phải chạy lại Fixed bằng FixedPolicy cùng codec rồi mới kết luận (nội suy log₂ và khác codec nên sai số vài %).</t>
  </si>
  <si>
    <t xml:space="preserve">Giai đoạn 4–5 — Mẫu bảng Fixed vs Adaptive</t>
  </si>
  <si>
    <t xml:space="preserve">Điền ô xanh (input) hoặc vàng. Cột tính toán tự cập nhật. Chạy Fixed bằng CHÍNH adaptive_context_finezip.py (FixedPolicy) để so sánh cùng khuôn mã hoá.</t>
  </si>
  <si>
    <t xml:space="preserve">Hàng mẫu (xám)</t>
  </si>
  <si>
    <t xml:space="preserve">Số từ MockLM 6.037 token — KHÔNG phải kết quả thật; xoá khi có số thật.</t>
  </si>
  <si>
    <t xml:space="preserve">Policy</t>
  </si>
  <si>
    <t xml:space="preserve">So với Fixed-512 (kích thước)</t>
  </si>
  <si>
    <t xml:space="preserve">Tiết kiệm enc so với Fixed-512</t>
  </si>
  <si>
    <t xml:space="preserve">Lossless?</t>
  </si>
  <si>
    <t xml:space="preserve">Phân bố chunk 32/64/128/256/512</t>
  </si>
  <si>
    <t xml:space="preserve">Fixed-32</t>
  </si>
  <si>
    <t xml:space="preserve">Fixed-64</t>
  </si>
  <si>
    <t xml:space="preserve">Fixed-128</t>
  </si>
  <si>
    <t xml:space="preserve">Fixed-256</t>
  </si>
  <si>
    <t xml:space="preserve">Fixed-512</t>
  </si>
  <si>
    <t xml:space="preserve">Adaptive-Feature (entropy+lặp)</t>
  </si>
  <si>
    <t xml:space="preserve">Adaptive-DP λ=1000</t>
  </si>
  <si>
    <t xml:space="preserve">True (v3, không escape)</t>
  </si>
  <si>
    <t xml:space="preserve">1/17/50/397/346</t>
  </si>
  <si>
    <t xml:space="preserve">v3: giải nén theo kế hoạch batch ghi trong header; quick_check OK + decode đầy đủ OK (T4, torch 2.10).</t>
  </si>
  <si>
    <t xml:space="preserve">Adaptive-DP λ=2000</t>
  </si>
  <si>
    <t xml:space="preserve">Adaptive-DP λ=5000</t>
  </si>
  <si>
    <t xml:space="preserve">True (v1, không escape)</t>
  </si>
  <si>
    <t xml:space="preserve">39/380/1401/292/13</t>
  </si>
  <si>
    <t xml:space="preserve">v1; giải nén đúng (cùng batch). Nên nén lại bằng v3 để cùng khuôn với λ=1000.</t>
  </si>
  <si>
    <t xml:space="preserve">Adaptive-DP λ=12000</t>
  </si>
  <si>
    <t xml:space="preserve">Chưa giải nén</t>
  </si>
  <si>
    <t xml:space="preserve">563/2694/703/23/0</t>
  </si>
  <si>
    <t xml:space="preserve">Kích thước v1; chưa kiểm tra lossless.</t>
  </si>
  <si>
    <t xml:space="preserve">Adaptive-DP λ=40000</t>
  </si>
  <si>
    <t xml:space="preserve">6735/1100/3/0/0</t>
  </si>
  <si>
    <t xml:space="preserve">VÍ DỤ (mock): Fixed-512</t>
  </si>
  <si>
    <t xml:space="preserve">VÍ DỤ (mock): Adaptive-DP λ=3000</t>
  </si>
  <si>
    <t xml:space="preserve">Hàng mẫu chỉ minh hoạ cột D và G (chênh kích thước &amp; tiết kiệm thời gian ước lượng); cột Ratio bỏ trống vì mock chỉ có 6.037 token.</t>
  </si>
  <si>
    <t xml:space="preserve">⚠ Cột Enc của Adaptive gần như không đổi theo λ (173–196 s) dù chunk khác hẳn nhau → không dùng để kết luận tốc độ; so sánh bằng Dec và kích thước. Hàng Fixed-* chưa có: cần chạy FixedPolicy cùng khuôn mã hoá (mục 'Làm tiếp').</t>
  </si>
  <si>
    <t xml:space="preserve">Ablation (điền sau)</t>
  </si>
  <si>
    <t xml:space="preserve">Thí nghiệm</t>
  </si>
  <si>
    <t xml:space="preserve">Cấu hình</t>
  </si>
  <si>
    <t xml:space="preserve">Kết luận ngắn</t>
  </si>
  <si>
    <t xml:space="preserve">A. Context</t>
  </si>
  <si>
    <t xml:space="preserve">Adaptive OFF: Fixed 32…512</t>
  </si>
  <si>
    <t xml:space="preserve">B. Online memorization</t>
  </si>
  <si>
    <t xml:space="preserve">No LoRA / LoRA (pipeline rank+bzip2)</t>
  </si>
  <si>
    <t xml:space="preserve">Fixed-512 + LoRA vs Adaptive + LoRA</t>
  </si>
  <si>
    <t xml:space="preserve">C. Chính sách</t>
  </si>
  <si>
    <t xml:space="preserve">Feature (entropy) / Feature (lặp) / DP</t>
  </si>
  <si>
    <t xml:space="preserve">D. Dữ liệu</t>
  </si>
  <si>
    <t xml:space="preserve">Thuần văn xuôi / hỗn hợp wiki+code+bảng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</si>
</sst>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00\×"/>
    <numFmt numFmtId="167" formatCode="0.00%"/>
    <numFmt numFmtId="168" formatCode="0.000"/>
    <numFmt numFmtId="169" formatCode="#,##0.00"/>
    <numFmt numFmtId="170" formatCode="0.0%"/>
    <numFmt numFmtId="171" formatCode="0.0\×"/>
    <numFmt numFmtId="172" formatCode="0.00\×"/>
    <numFmt numFmtId="173" formatCode="0.0000"/>
    <numFmt numFmtId="174" formatCode="#,##0.0"/>
    <numFmt numFmtId="175" formatCode="0\×"/>
    <numFmt numFmtId="176" formatCode="0"/>
    <numFmt numFmtId="177" formatCode="0.00"/>
    <numFmt numFmtId="178" formatCode="0.000\×"/>
    <numFmt numFmtId="179" formatCode="0.0\×"/>
    <numFmt numFmtId="180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D9E2F3"/>
        <bgColor rgb="FFE2EFDA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12" activePane="bottomLeft" state="frozen"/>
      <selection pane="topLeft" activeCell="A1" activeCellId="0" sqref="A1"/>
      <selection pane="bottomLeft" activeCell="D13" activeCellId="0" sqref="D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64"/>
    <col collapsed="false" customWidth="true" hidden="false" outlineLevel="0" max="5" min="5" style="0" width="22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8" hidden="false" customHeight="true" outlineLevel="0" collapsed="false">
      <c r="A5" s="4" t="s">
        <v>3</v>
      </c>
      <c r="B5" s="4"/>
      <c r="C5" s="4"/>
      <c r="D5" s="4"/>
      <c r="E5" s="4"/>
    </row>
    <row r="7" customFormat="false" ht="43.5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</row>
    <row r="8" customFormat="false" ht="63.75" hidden="false" customHeight="true" outlineLevel="0" collapsed="false">
      <c r="A8" s="6" t="n">
        <v>1</v>
      </c>
      <c r="B8" s="7" t="s">
        <v>9</v>
      </c>
      <c r="C8" s="7" t="s">
        <v>10</v>
      </c>
      <c r="D8" s="7" t="s">
        <v>11</v>
      </c>
      <c r="E8" s="7" t="s">
        <v>12</v>
      </c>
    </row>
    <row r="9" customFormat="false" ht="63.75" hidden="false" customHeight="true" outlineLevel="0" collapsed="false">
      <c r="A9" s="6" t="n">
        <v>2</v>
      </c>
      <c r="B9" s="7" t="s">
        <v>13</v>
      </c>
      <c r="C9" s="7" t="s">
        <v>14</v>
      </c>
      <c r="D9" s="7" t="s">
        <v>15</v>
      </c>
      <c r="E9" s="7" t="s">
        <v>12</v>
      </c>
    </row>
    <row r="10" customFormat="false" ht="63.75" hidden="false" customHeight="true" outlineLevel="0" collapsed="false">
      <c r="A10" s="6" t="n">
        <v>3</v>
      </c>
      <c r="B10" s="7" t="s">
        <v>16</v>
      </c>
      <c r="C10" s="7" t="s">
        <v>17</v>
      </c>
      <c r="D10" s="7" t="s">
        <v>18</v>
      </c>
      <c r="E10" s="7" t="s">
        <v>12</v>
      </c>
    </row>
    <row r="11" customFormat="false" ht="63.75" hidden="false" customHeight="true" outlineLevel="0" collapsed="false">
      <c r="A11" s="6" t="n">
        <v>4</v>
      </c>
      <c r="B11" s="7" t="s">
        <v>19</v>
      </c>
      <c r="C11" s="8" t="s">
        <v>20</v>
      </c>
      <c r="D11" s="7" t="s">
        <v>21</v>
      </c>
      <c r="E11" s="9" t="s">
        <v>22</v>
      </c>
    </row>
    <row r="12" customFormat="false" ht="63.75" hidden="false" customHeight="true" outlineLevel="0" collapsed="false">
      <c r="A12" s="6" t="n">
        <v>5</v>
      </c>
      <c r="B12" s="7" t="s">
        <v>23</v>
      </c>
      <c r="C12" s="7" t="s">
        <v>24</v>
      </c>
      <c r="D12" s="7" t="s">
        <v>25</v>
      </c>
      <c r="E12" s="7" t="s">
        <v>26</v>
      </c>
    </row>
    <row r="13" customFormat="false" ht="63.75" hidden="false" customHeight="true" outlineLevel="0" collapsed="false">
      <c r="A13" s="6" t="n">
        <v>6</v>
      </c>
      <c r="B13" s="7" t="s">
        <v>27</v>
      </c>
      <c r="C13" s="7" t="s">
        <v>28</v>
      </c>
      <c r="D13" s="7" t="s">
        <v>29</v>
      </c>
      <c r="E13" s="7" t="s">
        <v>30</v>
      </c>
    </row>
    <row r="14" customFormat="false" ht="63.75" hidden="false" customHeight="true" outlineLevel="0" collapsed="false">
      <c r="A14" s="6" t="n">
        <v>7</v>
      </c>
      <c r="B14" s="7" t="s">
        <v>31</v>
      </c>
      <c r="C14" s="7" t="s">
        <v>32</v>
      </c>
      <c r="D14" s="7" t="s">
        <v>33</v>
      </c>
      <c r="E14" s="7" t="s">
        <v>12</v>
      </c>
    </row>
    <row r="15" customFormat="false" ht="63.75" hidden="false" customHeight="true" outlineLevel="0" collapsed="false">
      <c r="A15" s="6" t="n">
        <v>8</v>
      </c>
      <c r="B15" s="7" t="s">
        <v>34</v>
      </c>
      <c r="C15" s="7" t="s">
        <v>35</v>
      </c>
      <c r="D15" s="7" t="s">
        <v>36</v>
      </c>
      <c r="E15" s="7" t="s">
        <v>12</v>
      </c>
    </row>
    <row r="16" customFormat="false" ht="63.75" hidden="false" customHeight="true" outlineLevel="0" collapsed="false">
      <c r="A16" s="6" t="n">
        <v>9</v>
      </c>
      <c r="B16" s="7" t="s">
        <v>37</v>
      </c>
      <c r="C16" s="7" t="s">
        <v>38</v>
      </c>
      <c r="D16" s="7" t="s">
        <v>39</v>
      </c>
      <c r="E16" s="7" t="s">
        <v>40</v>
      </c>
    </row>
    <row r="17" customFormat="false" ht="63.75" hidden="false" customHeight="true" outlineLevel="0" collapsed="false">
      <c r="A17" s="6" t="n">
        <v>10</v>
      </c>
      <c r="B17" s="7" t="s">
        <v>41</v>
      </c>
      <c r="C17" s="7" t="s">
        <v>42</v>
      </c>
      <c r="D17" s="7" t="s">
        <v>43</v>
      </c>
      <c r="E17" s="7" t="s">
        <v>44</v>
      </c>
    </row>
  </sheetData>
  <mergeCells count="1"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N19" activeCellId="0" sqref="N1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8.29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9" min="6" style="0" width="13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48"/>
  </cols>
  <sheetData>
    <row r="1" customFormat="false" ht="18" hidden="false" customHeight="tru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3" customFormat="false" ht="15" hidden="false" customHeight="false" outlineLevel="0" collapsed="false">
      <c r="A3" s="10" t="s">
        <v>47</v>
      </c>
      <c r="B3" s="11" t="n">
        <v>1000000</v>
      </c>
    </row>
    <row r="4" customFormat="false" ht="15" hidden="false" customHeight="false" outlineLevel="0" collapsed="false">
      <c r="A4" s="10" t="s">
        <v>48</v>
      </c>
      <c r="B4" s="11" t="n">
        <v>995768</v>
      </c>
    </row>
    <row r="5" customFormat="false" ht="15" hidden="false" customHeight="false" outlineLevel="0" collapsed="false">
      <c r="A5" s="10" t="s">
        <v>49</v>
      </c>
      <c r="B5" s="11" t="n">
        <v>286273</v>
      </c>
    </row>
    <row r="7" customFormat="false" ht="43.5" hidden="false" customHeight="true" outlineLevel="0" collapsed="false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  <c r="J7" s="5" t="s">
        <v>59</v>
      </c>
      <c r="K7" s="5" t="s">
        <v>60</v>
      </c>
      <c r="L7" s="5" t="s">
        <v>61</v>
      </c>
      <c r="M7" s="5" t="s">
        <v>62</v>
      </c>
      <c r="N7" s="5" t="s">
        <v>63</v>
      </c>
      <c r="O7" s="5" t="s">
        <v>64</v>
      </c>
      <c r="P7" s="5" t="s">
        <v>65</v>
      </c>
    </row>
    <row r="8" customFormat="false" ht="15" hidden="false" customHeight="false" outlineLevel="0" collapsed="false">
      <c r="A8" s="10" t="s">
        <v>66</v>
      </c>
      <c r="B8" s="12" t="s">
        <v>67</v>
      </c>
      <c r="C8" s="7" t="s">
        <v>68</v>
      </c>
      <c r="D8" s="6" t="s">
        <v>67</v>
      </c>
      <c r="E8" s="6" t="s">
        <v>67</v>
      </c>
      <c r="F8" s="12"/>
      <c r="G8" s="11" t="n">
        <v>355808</v>
      </c>
      <c r="H8" s="13" t="n">
        <f aca="false">$B$3/G8</f>
        <v>2.81050454177534</v>
      </c>
      <c r="I8" s="14" t="n">
        <f aca="false">G8/$B$3</f>
        <v>0.355808</v>
      </c>
      <c r="J8" s="15" t="n">
        <f aca="false">G8*8/$B$4</f>
        <v>2.85856143198014</v>
      </c>
      <c r="K8" s="16" t="n">
        <v>0.0696</v>
      </c>
      <c r="L8" s="16" t="n">
        <v>0.0064</v>
      </c>
      <c r="M8" s="6" t="s">
        <v>67</v>
      </c>
      <c r="N8" s="6" t="s">
        <v>69</v>
      </c>
      <c r="O8" s="17" t="n">
        <f aca="false">1-G8/$G$9</f>
        <v>-0.264766833852902</v>
      </c>
      <c r="P8" s="7" t="s">
        <v>70</v>
      </c>
    </row>
    <row r="9" customFormat="false" ht="15" hidden="false" customHeight="false" outlineLevel="0" collapsed="false">
      <c r="A9" s="10" t="s">
        <v>71</v>
      </c>
      <c r="B9" s="12" t="s">
        <v>67</v>
      </c>
      <c r="C9" s="7" t="s">
        <v>72</v>
      </c>
      <c r="D9" s="6" t="s">
        <v>67</v>
      </c>
      <c r="E9" s="6" t="s">
        <v>67</v>
      </c>
      <c r="F9" s="12"/>
      <c r="G9" s="11" t="n">
        <v>281323</v>
      </c>
      <c r="H9" s="13" t="n">
        <f aca="false">$B$3/G9</f>
        <v>3.5546329308304</v>
      </c>
      <c r="I9" s="14" t="n">
        <f aca="false">G9/$B$3</f>
        <v>0.281323</v>
      </c>
      <c r="J9" s="15" t="n">
        <f aca="false">G9*8/$B$4</f>
        <v>2.26014895035791</v>
      </c>
      <c r="K9" s="16" t="n">
        <v>0.0951</v>
      </c>
      <c r="L9" s="16" t="n">
        <v>0.0408</v>
      </c>
      <c r="M9" s="6" t="s">
        <v>67</v>
      </c>
      <c r="N9" s="6" t="s">
        <v>69</v>
      </c>
      <c r="O9" s="17" t="n">
        <f aca="false">1-G9/$G$9</f>
        <v>0</v>
      </c>
      <c r="P9" s="7" t="s">
        <v>70</v>
      </c>
    </row>
    <row r="10" customFormat="false" ht="25.5" hidden="false" customHeight="true" outlineLevel="0" collapsed="false">
      <c r="A10" s="10" t="s">
        <v>73</v>
      </c>
      <c r="B10" s="12" t="s">
        <v>74</v>
      </c>
      <c r="C10" s="7" t="s">
        <v>75</v>
      </c>
      <c r="D10" s="18" t="n">
        <v>32</v>
      </c>
      <c r="E10" s="18" t="n">
        <v>1</v>
      </c>
      <c r="F10" s="11" t="n">
        <v>1494873</v>
      </c>
      <c r="G10" s="19" t="n">
        <f aca="false">ROUNDUP(F10/8,0)</f>
        <v>186860</v>
      </c>
      <c r="H10" s="13" t="n">
        <f aca="false">$B$3/G10</f>
        <v>5.3516001284384</v>
      </c>
      <c r="I10" s="14" t="n">
        <f aca="false">G10/$B$3</f>
        <v>0.18686</v>
      </c>
      <c r="J10" s="15" t="n">
        <f aca="false">G10*8/$B$4</f>
        <v>1.50123321898273</v>
      </c>
      <c r="K10" s="16" t="n">
        <v>2905.93</v>
      </c>
      <c r="L10" s="16" t="n">
        <v>2851.32</v>
      </c>
      <c r="M10" s="16" t="n">
        <v>995.75</v>
      </c>
      <c r="N10" s="6" t="s">
        <v>69</v>
      </c>
      <c r="O10" s="17" t="n">
        <f aca="false">1-G10/$G$9</f>
        <v>0.335781290545032</v>
      </c>
      <c r="P10" s="7" t="s">
        <v>76</v>
      </c>
    </row>
    <row r="11" customFormat="false" ht="25.5" hidden="false" customHeight="true" outlineLevel="0" collapsed="false">
      <c r="A11" s="10" t="s">
        <v>77</v>
      </c>
      <c r="B11" s="12" t="s">
        <v>74</v>
      </c>
      <c r="C11" s="7" t="s">
        <v>78</v>
      </c>
      <c r="D11" s="18" t="n">
        <v>32</v>
      </c>
      <c r="E11" s="18" t="n">
        <v>1</v>
      </c>
      <c r="F11" s="12"/>
      <c r="G11" s="11" t="n">
        <v>293093</v>
      </c>
      <c r="H11" s="13" t="n">
        <f aca="false">$B$3/G11</f>
        <v>3.41188632959504</v>
      </c>
      <c r="I11" s="14" t="n">
        <f aca="false">G11/$B$3</f>
        <v>0.293093</v>
      </c>
      <c r="J11" s="15" t="n">
        <f aca="false">G11*8/$B$4</f>
        <v>2.35470912903407</v>
      </c>
      <c r="K11" s="16" t="n">
        <v>2740.09</v>
      </c>
      <c r="L11" s="16" t="n">
        <v>2761.86</v>
      </c>
      <c r="M11" s="16" t="n">
        <v>993.43</v>
      </c>
      <c r="N11" s="6" t="s">
        <v>69</v>
      </c>
      <c r="O11" s="17" t="n">
        <f aca="false">1-G11/$G$9</f>
        <v>-0.0418380295958738</v>
      </c>
      <c r="P11" s="7" t="s">
        <v>79</v>
      </c>
    </row>
    <row r="12" customFormat="false" ht="25.5" hidden="false" customHeight="true" outlineLevel="0" collapsed="false">
      <c r="A12" s="10" t="s">
        <v>77</v>
      </c>
      <c r="B12" s="12" t="s">
        <v>74</v>
      </c>
      <c r="C12" s="7" t="s">
        <v>78</v>
      </c>
      <c r="D12" s="18" t="n">
        <v>32</v>
      </c>
      <c r="E12" s="18" t="n">
        <v>64</v>
      </c>
      <c r="F12" s="12"/>
      <c r="G12" s="11" t="n">
        <v>293027</v>
      </c>
      <c r="H12" s="13" t="n">
        <f aca="false">$B$3/G12</f>
        <v>3.41265480655366</v>
      </c>
      <c r="I12" s="14" t="n">
        <f aca="false">G12/$B$3</f>
        <v>0.293027</v>
      </c>
      <c r="J12" s="15" t="n">
        <f aca="false">G12*8/$B$4</f>
        <v>2.3541788850415</v>
      </c>
      <c r="K12" s="16" t="n">
        <v>61.62886</v>
      </c>
      <c r="L12" s="20" t="s">
        <v>80</v>
      </c>
      <c r="M12" s="20" t="s">
        <v>80</v>
      </c>
      <c r="N12" s="6" t="s">
        <v>69</v>
      </c>
      <c r="O12" s="17" t="n">
        <f aca="false">1-G12/$G$9</f>
        <v>-0.041603423822439</v>
      </c>
      <c r="P12" s="7" t="s">
        <v>81</v>
      </c>
    </row>
    <row r="15" customFormat="false" ht="15" hidden="false" customHeight="false" outlineLevel="0" collapsed="false">
      <c r="A15" s="21" t="s">
        <v>82</v>
      </c>
    </row>
    <row r="16" customFormat="false" ht="15" hidden="false" customHeight="false" outlineLevel="0" collapsed="false">
      <c r="A16" s="22" t="s">
        <v>83</v>
      </c>
      <c r="B16" s="13" t="n">
        <f aca="false">H10/H8</f>
        <v>1.90414213849941</v>
      </c>
    </row>
    <row r="17" customFormat="false" ht="15" hidden="false" customHeight="false" outlineLevel="0" collapsed="false">
      <c r="A17" s="22" t="s">
        <v>84</v>
      </c>
      <c r="B17" s="13" t="n">
        <f aca="false">H10/H9</f>
        <v>1.50552820293268</v>
      </c>
    </row>
    <row r="18" customFormat="false" ht="15" hidden="false" customHeight="false" outlineLevel="0" collapsed="false">
      <c r="A18" s="22" t="s">
        <v>85</v>
      </c>
      <c r="B18" s="13" t="n">
        <f aca="false">H11/H9</f>
        <v>0.959842097900666</v>
      </c>
    </row>
    <row r="19" customFormat="false" ht="25.5" hidden="false" customHeight="true" outlineLevel="0" collapsed="false">
      <c r="A19" s="22" t="s">
        <v>86</v>
      </c>
      <c r="B19" s="23" t="n">
        <f aca="false">K11/K12</f>
        <v>44.4611501819115</v>
      </c>
    </row>
    <row r="20" customFormat="false" ht="25.5" hidden="false" customHeight="true" outlineLevel="0" collapsed="false">
      <c r="A20" s="22" t="s">
        <v>87</v>
      </c>
      <c r="B20" s="19" t="n">
        <f aca="false">G11-G12</f>
        <v>66</v>
      </c>
    </row>
    <row r="22" customFormat="false" ht="30" hidden="false" customHeight="true" outlineLevel="0" collapsed="false">
      <c r="A22" s="24" t="s">
        <v>88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customFormat="false" ht="30" hidden="false" customHeight="true" outlineLevel="0" collapsed="false">
      <c r="A23" s="24" t="s">
        <v>89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customFormat="false" ht="30" hidden="false" customHeight="true" outlineLevel="0" collapsed="false">
      <c r="A24" s="24" t="s">
        <v>90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</sheetData>
  <mergeCells count="3">
    <mergeCell ref="A22:P22"/>
    <mergeCell ref="A23:P23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L19" activeCellId="0" sqref="L1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1" min="9" style="0" width="13"/>
    <col collapsed="false" customWidth="true" hidden="false" outlineLevel="0" max="12" min="12" style="0" width="17"/>
    <col collapsed="false" customWidth="true" hidden="false" outlineLevel="0" max="13" min="13" style="0" width="10"/>
  </cols>
  <sheetData>
    <row r="1" customFormat="false" ht="18" hidden="false" customHeight="tru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10" t="s">
        <v>93</v>
      </c>
      <c r="B3" s="25" t="n">
        <f aca="false">GD2_Baseline!B3</f>
        <v>1000000</v>
      </c>
    </row>
    <row r="4" customFormat="false" ht="15" hidden="false" customHeight="false" outlineLevel="0" collapsed="false">
      <c r="A4" s="10" t="s">
        <v>94</v>
      </c>
      <c r="B4" s="25" t="n">
        <f aca="false">GD2_Baseline!B4</f>
        <v>995768</v>
      </c>
    </row>
    <row r="6" customFormat="false" ht="15" hidden="false" customHeight="false" outlineLevel="0" collapsed="false">
      <c r="A6" s="21" t="s">
        <v>95</v>
      </c>
    </row>
    <row r="7" customFormat="false" ht="43.5" hidden="false" customHeight="true" outlineLevel="0" collapsed="false">
      <c r="A7" s="5" t="s">
        <v>96</v>
      </c>
      <c r="B7" s="5" t="s">
        <v>56</v>
      </c>
      <c r="C7" s="5" t="s">
        <v>57</v>
      </c>
      <c r="D7" s="5" t="s">
        <v>97</v>
      </c>
      <c r="E7" s="5" t="s">
        <v>98</v>
      </c>
      <c r="F7" s="5" t="s">
        <v>99</v>
      </c>
      <c r="G7" s="5" t="s">
        <v>100</v>
      </c>
      <c r="H7" s="5" t="s">
        <v>101</v>
      </c>
      <c r="I7" s="5" t="s">
        <v>102</v>
      </c>
      <c r="J7" s="5" t="s">
        <v>61</v>
      </c>
      <c r="K7" s="5" t="s">
        <v>62</v>
      </c>
      <c r="L7" s="5" t="s">
        <v>103</v>
      </c>
      <c r="M7" s="5" t="s">
        <v>63</v>
      </c>
    </row>
    <row r="8" customFormat="false" ht="15" hidden="false" customHeight="false" outlineLevel="0" collapsed="false">
      <c r="A8" s="18" t="n">
        <v>32</v>
      </c>
      <c r="B8" s="11" t="n">
        <v>293027</v>
      </c>
      <c r="C8" s="13" t="n">
        <f aca="false">$B$3/B8</f>
        <v>3.41265480655366</v>
      </c>
      <c r="D8" s="14" t="n">
        <f aca="false">B8/$B$3</f>
        <v>0.293027</v>
      </c>
      <c r="E8" s="17" t="n">
        <f aca="false">C8/$C$8-1</f>
        <v>0</v>
      </c>
      <c r="F8" s="16" t="n">
        <v>61.62886</v>
      </c>
      <c r="G8" s="26" t="n">
        <f aca="false">F8/$F$8</f>
        <v>1</v>
      </c>
      <c r="H8" s="16" t="n">
        <v>60.808464</v>
      </c>
      <c r="I8" s="17" t="n">
        <f aca="false">H8/F8-1</f>
        <v>-0.0133118801808114</v>
      </c>
      <c r="J8" s="20" t="s">
        <v>80</v>
      </c>
      <c r="K8" s="20" t="s">
        <v>80</v>
      </c>
      <c r="L8" s="6" t="s">
        <v>67</v>
      </c>
      <c r="M8" s="6" t="s">
        <v>69</v>
      </c>
    </row>
    <row r="9" customFormat="false" ht="15" hidden="false" customHeight="false" outlineLevel="0" collapsed="false">
      <c r="A9" s="18" t="n">
        <v>64</v>
      </c>
      <c r="B9" s="11" t="n">
        <v>264110</v>
      </c>
      <c r="C9" s="13" t="n">
        <f aca="false">$B$3/B9</f>
        <v>3.78630116239446</v>
      </c>
      <c r="D9" s="14" t="n">
        <f aca="false">B9/$B$3</f>
        <v>0.26411</v>
      </c>
      <c r="E9" s="17" t="n">
        <f aca="false">C9/$C$8-1</f>
        <v>0.10948847071296</v>
      </c>
      <c r="F9" s="16" t="n">
        <v>67.17076</v>
      </c>
      <c r="G9" s="26" t="n">
        <f aca="false">F9/$F$8</f>
        <v>1.08992377921643</v>
      </c>
      <c r="H9" s="16" t="n">
        <v>69.091072</v>
      </c>
      <c r="I9" s="17" t="n">
        <f aca="false">H9/F9-1</f>
        <v>0.0285885108341784</v>
      </c>
      <c r="J9" s="20" t="s">
        <v>80</v>
      </c>
      <c r="K9" s="20" t="s">
        <v>80</v>
      </c>
      <c r="L9" s="19" t="n">
        <f aca="false">(B8-B9)*8/(F9-F8)</f>
        <v>41743.0845017052</v>
      </c>
      <c r="M9" s="6" t="s">
        <v>69</v>
      </c>
    </row>
    <row r="10" customFormat="false" ht="15" hidden="false" customHeight="false" outlineLevel="0" collapsed="false">
      <c r="A10" s="18" t="n">
        <v>128</v>
      </c>
      <c r="B10" s="11" t="n">
        <v>240733</v>
      </c>
      <c r="C10" s="13" t="n">
        <f aca="false">$B$3/B10</f>
        <v>4.15397972027101</v>
      </c>
      <c r="D10" s="14" t="n">
        <f aca="false">B10/$B$3</f>
        <v>0.240733</v>
      </c>
      <c r="E10" s="17" t="n">
        <f aca="false">C10/$C$8-1</f>
        <v>0.217228215491852</v>
      </c>
      <c r="F10" s="16" t="n">
        <v>82.953516</v>
      </c>
      <c r="G10" s="26" t="n">
        <f aca="false">F10/$F$8</f>
        <v>1.34601736913517</v>
      </c>
      <c r="H10" s="16" t="n">
        <v>88.830186</v>
      </c>
      <c r="I10" s="17" t="n">
        <f aca="false">H10/F10-1</f>
        <v>0.0708429284661063</v>
      </c>
      <c r="J10" s="20" t="s">
        <v>80</v>
      </c>
      <c r="K10" s="20" t="s">
        <v>80</v>
      </c>
      <c r="L10" s="19" t="n">
        <f aca="false">(B9-B10)*8/(F10-F9)</f>
        <v>11849.3880283013</v>
      </c>
      <c r="M10" s="6" t="s">
        <v>69</v>
      </c>
    </row>
    <row r="11" customFormat="false" ht="15" hidden="false" customHeight="false" outlineLevel="0" collapsed="false">
      <c r="A11" s="18" t="n">
        <v>256</v>
      </c>
      <c r="B11" s="11" t="n">
        <v>222510</v>
      </c>
      <c r="C11" s="13" t="n">
        <f aca="false">$B$3/B11</f>
        <v>4.49418003685228</v>
      </c>
      <c r="D11" s="14" t="n">
        <f aca="false">B11/$B$3</f>
        <v>0.22251</v>
      </c>
      <c r="E11" s="17" t="n">
        <f aca="false">C11/$C$8-1</f>
        <v>0.316916093658712</v>
      </c>
      <c r="F11" s="16" t="n">
        <v>114.332818</v>
      </c>
      <c r="G11" s="26" t="n">
        <f aca="false">F11/$F$8</f>
        <v>1.85518307494249</v>
      </c>
      <c r="H11" s="16" t="n">
        <v>124.829865</v>
      </c>
      <c r="I11" s="17" t="n">
        <f aca="false">H11/F11-1</f>
        <v>0.0918113205256603</v>
      </c>
      <c r="J11" s="20" t="s">
        <v>80</v>
      </c>
      <c r="K11" s="20" t="s">
        <v>80</v>
      </c>
      <c r="L11" s="19" t="n">
        <f aca="false">(B10-B11)*8/(F11-F10)</f>
        <v>4645.8649717575</v>
      </c>
      <c r="M11" s="6" t="s">
        <v>69</v>
      </c>
    </row>
    <row r="12" customFormat="false" ht="15" hidden="false" customHeight="false" outlineLevel="0" collapsed="false">
      <c r="A12" s="18" t="n">
        <v>512</v>
      </c>
      <c r="B12" s="11" t="n">
        <v>208720</v>
      </c>
      <c r="C12" s="13" t="n">
        <f aca="false">$B$3/B12</f>
        <v>4.79110770410119</v>
      </c>
      <c r="D12" s="14" t="n">
        <f aca="false">B12/$B$3</f>
        <v>0.20872</v>
      </c>
      <c r="E12" s="17" t="n">
        <f aca="false">C12/$C$8-1</f>
        <v>0.403923917209659</v>
      </c>
      <c r="F12" s="16" t="n">
        <v>178.817302</v>
      </c>
      <c r="G12" s="26" t="n">
        <f aca="false">F12/$F$8</f>
        <v>2.90151889877567</v>
      </c>
      <c r="H12" s="16" t="n">
        <v>199.04195</v>
      </c>
      <c r="I12" s="17" t="n">
        <f aca="false">H12/F12-1</f>
        <v>0.113102299239477</v>
      </c>
      <c r="J12" s="20" t="s">
        <v>80</v>
      </c>
      <c r="K12" s="20" t="s">
        <v>80</v>
      </c>
      <c r="L12" s="19" t="n">
        <f aca="false">(B11-B12)*8/(F12-F11)</f>
        <v>1710.79914355832</v>
      </c>
      <c r="M12" s="6" t="s">
        <v>69</v>
      </c>
    </row>
    <row r="13" customFormat="false" ht="30" hidden="false" customHeight="true" outlineLevel="0" collapsed="false">
      <c r="A13" s="24" t="s">
        <v>104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customFormat="false" ht="30" hidden="false" customHeight="true" outlineLevel="0" collapsed="false">
      <c r="A14" s="24" t="s">
        <v>105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6" customFormat="false" ht="15" hidden="false" customHeight="false" outlineLevel="0" collapsed="false">
      <c r="A16" s="21" t="s">
        <v>106</v>
      </c>
    </row>
    <row r="17" customFormat="false" ht="43.5" hidden="false" customHeight="true" outlineLevel="0" collapsed="false">
      <c r="A17" s="5" t="s">
        <v>107</v>
      </c>
      <c r="B17" s="5" t="s">
        <v>108</v>
      </c>
      <c r="C17" s="5" t="s">
        <v>109</v>
      </c>
      <c r="D17" s="5" t="s">
        <v>57</v>
      </c>
      <c r="E17" s="5" t="s">
        <v>97</v>
      </c>
      <c r="F17" s="5" t="s">
        <v>59</v>
      </c>
      <c r="G17" s="5" t="s">
        <v>60</v>
      </c>
      <c r="H17" s="5" t="s">
        <v>110</v>
      </c>
      <c r="I17" s="5" t="s">
        <v>61</v>
      </c>
      <c r="J17" s="5" t="s">
        <v>111</v>
      </c>
      <c r="K17" s="5" t="s">
        <v>63</v>
      </c>
    </row>
    <row r="18" customFormat="false" ht="15" hidden="false" customHeight="false" outlineLevel="0" collapsed="false">
      <c r="A18" s="18" t="n">
        <v>32</v>
      </c>
      <c r="B18" s="11" t="n">
        <v>1494873</v>
      </c>
      <c r="C18" s="19" t="n">
        <f aca="false">ROUNDUP(B18/8,0)</f>
        <v>186860</v>
      </c>
      <c r="D18" s="13" t="n">
        <f aca="false">$B$3/C18</f>
        <v>5.3516001284384</v>
      </c>
      <c r="E18" s="14" t="n">
        <f aca="false">C18/$B$3</f>
        <v>0.18686</v>
      </c>
      <c r="F18" s="27" t="n">
        <f aca="false">B18/$B$4</f>
        <v>1.50122618923283</v>
      </c>
      <c r="G18" s="16" t="n">
        <v>2938.72</v>
      </c>
      <c r="H18" s="26" t="n">
        <f aca="false">G18/$G$18</f>
        <v>1</v>
      </c>
      <c r="I18" s="28" t="n">
        <f aca="false">GD2_Baseline!L10</f>
        <v>2851.32</v>
      </c>
      <c r="J18" s="6" t="s">
        <v>67</v>
      </c>
      <c r="K18" s="6" t="s">
        <v>69</v>
      </c>
    </row>
    <row r="19" customFormat="false" ht="15" hidden="false" customHeight="false" outlineLevel="0" collapsed="false">
      <c r="A19" s="18" t="n">
        <v>64</v>
      </c>
      <c r="B19" s="11" t="n">
        <v>1349477</v>
      </c>
      <c r="C19" s="19" t="n">
        <f aca="false">ROUNDUP(B19/8,0)</f>
        <v>168685</v>
      </c>
      <c r="D19" s="13" t="n">
        <f aca="false">$B$3/C19</f>
        <v>5.92820938435546</v>
      </c>
      <c r="E19" s="14" t="n">
        <f aca="false">C19/$B$3</f>
        <v>0.168685</v>
      </c>
      <c r="F19" s="27" t="n">
        <f aca="false">B19/$B$4</f>
        <v>1.35521225827703</v>
      </c>
      <c r="G19" s="16" t="n">
        <v>3072.81</v>
      </c>
      <c r="H19" s="26" t="n">
        <f aca="false">G19/$G$18</f>
        <v>1.04562870909784</v>
      </c>
      <c r="I19" s="20" t="s">
        <v>80</v>
      </c>
      <c r="J19" s="29" t="n">
        <f aca="false">(B18-B19)/(G19-G18)</f>
        <v>1084.3165038407</v>
      </c>
      <c r="K19" s="6" t="s">
        <v>69</v>
      </c>
    </row>
    <row r="20" customFormat="false" ht="15" hidden="false" customHeight="false" outlineLevel="0" collapsed="false">
      <c r="A20" s="18" t="n">
        <v>128</v>
      </c>
      <c r="B20" s="11" t="n">
        <v>1254847</v>
      </c>
      <c r="C20" s="19" t="n">
        <f aca="false">ROUNDUP(B20/8,0)</f>
        <v>156856</v>
      </c>
      <c r="D20" s="13" t="n">
        <f aca="false">$B$3/C20</f>
        <v>6.37527413678788</v>
      </c>
      <c r="E20" s="14" t="n">
        <f aca="false">C20/$B$3</f>
        <v>0.156856</v>
      </c>
      <c r="F20" s="27" t="n">
        <f aca="false">B20/$B$4</f>
        <v>1.26018008210748</v>
      </c>
      <c r="G20" s="16" t="n">
        <v>3504.67</v>
      </c>
      <c r="H20" s="26" t="n">
        <f aca="false">G20/$G$18</f>
        <v>1.1925838460282</v>
      </c>
      <c r="I20" s="20" t="s">
        <v>80</v>
      </c>
      <c r="J20" s="29" t="n">
        <f aca="false">(B19-B20)/(G20-G19)</f>
        <v>219.121937664984</v>
      </c>
      <c r="K20" s="6" t="s">
        <v>69</v>
      </c>
    </row>
    <row r="21" customFormat="false" ht="15" hidden="false" customHeight="false" outlineLevel="0" collapsed="false">
      <c r="A21" s="18" t="n">
        <v>256</v>
      </c>
      <c r="B21" s="11" t="n">
        <v>1164161</v>
      </c>
      <c r="C21" s="19" t="n">
        <f aca="false">ROUNDUP(B21/8,0)</f>
        <v>145521</v>
      </c>
      <c r="D21" s="13" t="n">
        <f aca="false">$B$3/C21</f>
        <v>6.87186041877117</v>
      </c>
      <c r="E21" s="14" t="n">
        <f aca="false">C21/$B$3</f>
        <v>0.145521</v>
      </c>
      <c r="F21" s="27" t="n">
        <f aca="false">B21/$B$4</f>
        <v>1.16910866788248</v>
      </c>
      <c r="G21" s="16" t="n">
        <v>6381.51</v>
      </c>
      <c r="H21" s="26" t="n">
        <f aca="false">G21/$G$18</f>
        <v>2.17152705940001</v>
      </c>
      <c r="I21" s="20" t="s">
        <v>80</v>
      </c>
      <c r="J21" s="29" t="n">
        <f aca="false">(B20-B21)/(G21-G20)</f>
        <v>31.5227819412967</v>
      </c>
      <c r="K21" s="6" t="s">
        <v>69</v>
      </c>
    </row>
    <row r="22" customFormat="false" ht="15" hidden="false" customHeight="false" outlineLevel="0" collapsed="false">
      <c r="A22" s="18" t="n">
        <v>512</v>
      </c>
      <c r="B22" s="11" t="n">
        <v>1138347</v>
      </c>
      <c r="C22" s="19" t="n">
        <f aca="false">ROUNDUP(B22/8,0)</f>
        <v>142294</v>
      </c>
      <c r="D22" s="13" t="n">
        <f aca="false">$B$3/C22</f>
        <v>7.0277032060382</v>
      </c>
      <c r="E22" s="14" t="n">
        <f aca="false">C22/$B$3</f>
        <v>0.142294</v>
      </c>
      <c r="F22" s="27" t="n">
        <f aca="false">B22/$B$4</f>
        <v>1.14318495874541</v>
      </c>
      <c r="G22" s="16" t="n">
        <v>14486.5</v>
      </c>
      <c r="H22" s="26" t="n">
        <f aca="false">G22/$G$18</f>
        <v>4.92952714106822</v>
      </c>
      <c r="I22" s="20" t="s">
        <v>80</v>
      </c>
      <c r="J22" s="29" t="n">
        <f aca="false">(B21-B22)/(G22-G21)</f>
        <v>3.18495149284577</v>
      </c>
      <c r="K22" s="6" t="s">
        <v>69</v>
      </c>
    </row>
    <row r="23" customFormat="false" ht="30" hidden="false" customHeight="true" outlineLevel="0" collapsed="false">
      <c r="A23" s="24" t="s">
        <v>112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5" customFormat="false" ht="15" hidden="false" customHeight="false" outlineLevel="0" collapsed="false">
      <c r="A25" s="21" t="s">
        <v>113</v>
      </c>
    </row>
    <row r="26" customFormat="false" ht="43.5" hidden="false" customHeight="true" outlineLevel="0" collapsed="false">
      <c r="A26" s="5" t="s">
        <v>53</v>
      </c>
      <c r="B26" s="5" t="s">
        <v>114</v>
      </c>
      <c r="C26" s="5" t="s">
        <v>115</v>
      </c>
      <c r="D26" s="5" t="s">
        <v>116</v>
      </c>
      <c r="E26" s="5" t="s">
        <v>117</v>
      </c>
      <c r="F26" s="5" t="s">
        <v>118</v>
      </c>
      <c r="G26" s="5" t="s">
        <v>119</v>
      </c>
    </row>
    <row r="27" customFormat="false" ht="15" hidden="false" customHeight="false" outlineLevel="0" collapsed="false">
      <c r="A27" s="6" t="n">
        <f aca="false">A8</f>
        <v>32</v>
      </c>
      <c r="B27" s="13" t="n">
        <f aca="false">C8</f>
        <v>3.41265480655366</v>
      </c>
      <c r="C27" s="13" t="n">
        <f aca="false">D18</f>
        <v>5.3516001284384</v>
      </c>
      <c r="D27" s="26" t="n">
        <f aca="false">C27/B27</f>
        <v>1.56816333083592</v>
      </c>
      <c r="E27" s="30" t="n">
        <f aca="false">F8</f>
        <v>61.62886</v>
      </c>
      <c r="F27" s="30" t="n">
        <f aca="false">G18</f>
        <v>2938.72</v>
      </c>
      <c r="G27" s="31" t="n">
        <f aca="false">F27/E27</f>
        <v>47.6841531710955</v>
      </c>
    </row>
    <row r="28" customFormat="false" ht="15" hidden="false" customHeight="false" outlineLevel="0" collapsed="false">
      <c r="A28" s="6" t="n">
        <f aca="false">A9</f>
        <v>64</v>
      </c>
      <c r="B28" s="13" t="n">
        <f aca="false">C9</f>
        <v>3.78630116239446</v>
      </c>
      <c r="C28" s="13" t="n">
        <f aca="false">D19</f>
        <v>5.92820938435546</v>
      </c>
      <c r="D28" s="26" t="n">
        <f aca="false">C28/B28</f>
        <v>1.56569938050212</v>
      </c>
      <c r="E28" s="30" t="n">
        <f aca="false">F9</f>
        <v>67.17076</v>
      </c>
      <c r="F28" s="30" t="n">
        <f aca="false">G19</f>
        <v>3072.81</v>
      </c>
      <c r="G28" s="31" t="n">
        <f aca="false">F28/E28</f>
        <v>45.7462443479871</v>
      </c>
    </row>
    <row r="29" customFormat="false" ht="15" hidden="false" customHeight="false" outlineLevel="0" collapsed="false">
      <c r="A29" s="6" t="n">
        <f aca="false">A10</f>
        <v>128</v>
      </c>
      <c r="B29" s="13" t="n">
        <f aca="false">C10</f>
        <v>4.15397972027101</v>
      </c>
      <c r="C29" s="13" t="n">
        <f aca="false">D20</f>
        <v>6.37527413678788</v>
      </c>
      <c r="D29" s="26" t="n">
        <f aca="false">C29/B29</f>
        <v>1.53473886877136</v>
      </c>
      <c r="E29" s="30" t="n">
        <f aca="false">F10</f>
        <v>82.953516</v>
      </c>
      <c r="F29" s="30" t="n">
        <f aca="false">G20</f>
        <v>3504.67</v>
      </c>
      <c r="G29" s="31" t="n">
        <f aca="false">F29/E29</f>
        <v>42.2486010116798</v>
      </c>
    </row>
    <row r="30" customFormat="false" ht="15" hidden="false" customHeight="false" outlineLevel="0" collapsed="false">
      <c r="A30" s="6" t="n">
        <f aca="false">A11</f>
        <v>256</v>
      </c>
      <c r="B30" s="13" t="n">
        <f aca="false">C11</f>
        <v>4.49418003685228</v>
      </c>
      <c r="C30" s="13" t="n">
        <f aca="false">D21</f>
        <v>6.87186041877117</v>
      </c>
      <c r="D30" s="26" t="n">
        <f aca="false">C30/B30</f>
        <v>1.52905766178077</v>
      </c>
      <c r="E30" s="30" t="n">
        <f aca="false">F11</f>
        <v>114.332818</v>
      </c>
      <c r="F30" s="30" t="n">
        <f aca="false">G21</f>
        <v>6381.51</v>
      </c>
      <c r="G30" s="31" t="n">
        <f aca="false">F30/E30</f>
        <v>55.8152078434733</v>
      </c>
    </row>
    <row r="31" customFormat="false" ht="15" hidden="false" customHeight="false" outlineLevel="0" collapsed="false">
      <c r="A31" s="6" t="n">
        <f aca="false">A12</f>
        <v>512</v>
      </c>
      <c r="B31" s="13" t="n">
        <f aca="false">C12</f>
        <v>4.79110770410119</v>
      </c>
      <c r="C31" s="13" t="n">
        <f aca="false">D22</f>
        <v>7.0277032060382</v>
      </c>
      <c r="D31" s="26" t="n">
        <f aca="false">C31/B31</f>
        <v>1.46682221316429</v>
      </c>
      <c r="E31" s="30" t="n">
        <f aca="false">F12</f>
        <v>178.817302</v>
      </c>
      <c r="F31" s="30" t="n">
        <f aca="false">G22</f>
        <v>14486.5</v>
      </c>
      <c r="G31" s="31" t="n">
        <f aca="false">F31/E31</f>
        <v>81.0128541140834</v>
      </c>
    </row>
    <row r="32" customFormat="false" ht="30" hidden="false" customHeight="true" outlineLevel="0" collapsed="false">
      <c r="A32" s="24" t="s">
        <v>120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</row>
  </sheetData>
  <mergeCells count="4">
    <mergeCell ref="A13:M13"/>
    <mergeCell ref="A14:M14"/>
    <mergeCell ref="A23:K23"/>
    <mergeCell ref="A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L26" activeCellId="0" sqref="L2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5" min="4" style="0" width="17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12" min="9" style="0" width="13"/>
    <col collapsed="false" customWidth="true" hidden="false" outlineLevel="0" max="13" min="13" style="0" width="12"/>
    <col collapsed="false" customWidth="true" hidden="false" outlineLevel="0" max="14" min="14" style="0" width="9"/>
  </cols>
  <sheetData>
    <row r="1" customFormat="false" ht="18" hidden="false" customHeight="tru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3" customFormat="false" ht="15" hidden="false" customHeight="false" outlineLevel="0" collapsed="false">
      <c r="A3" s="22" t="s">
        <v>93</v>
      </c>
      <c r="B3" s="25" t="n">
        <f aca="false">GD2_Baseline!B3</f>
        <v>1000000</v>
      </c>
    </row>
    <row r="4" customFormat="false" ht="15" hidden="false" customHeight="false" outlineLevel="0" collapsed="false">
      <c r="A4" s="22" t="s">
        <v>94</v>
      </c>
      <c r="B4" s="25" t="n">
        <f aca="false">GD2_Baseline!B4</f>
        <v>995768</v>
      </c>
    </row>
    <row r="5" customFormat="false" ht="25.5" hidden="false" customHeight="true" outlineLevel="0" collapsed="false">
      <c r="A5" s="22" t="s">
        <v>123</v>
      </c>
      <c r="B5" s="11" t="n">
        <v>811008</v>
      </c>
    </row>
    <row r="6" customFormat="false" ht="15" hidden="false" customHeight="false" outlineLevel="0" collapsed="false">
      <c r="A6" s="22" t="s">
        <v>124</v>
      </c>
      <c r="B6" s="32" t="n">
        <v>2</v>
      </c>
    </row>
    <row r="7" customFormat="false" ht="15" hidden="false" customHeight="false" outlineLevel="0" collapsed="false">
      <c r="A7" s="22" t="s">
        <v>125</v>
      </c>
      <c r="B7" s="32" t="n">
        <v>4</v>
      </c>
    </row>
    <row r="8" customFormat="false" ht="25.5" hidden="false" customHeight="true" outlineLevel="0" collapsed="false">
      <c r="A8" s="22" t="s">
        <v>126</v>
      </c>
      <c r="B8" s="33" t="n">
        <v>3253104</v>
      </c>
    </row>
    <row r="9" customFormat="false" ht="25.5" hidden="false" customHeight="true" outlineLevel="0" collapsed="false">
      <c r="A9" s="22" t="s">
        <v>127</v>
      </c>
      <c r="B9" s="19" t="n">
        <f aca="false">IF(ISNUMBER(B8),B8,B5*B6)</f>
        <v>3253104</v>
      </c>
    </row>
    <row r="10" customFormat="false" ht="15" hidden="false" customHeight="false" outlineLevel="0" collapsed="false">
      <c r="A10" s="22" t="s">
        <v>128</v>
      </c>
      <c r="B10" s="19" t="n">
        <f aca="false">B5*B7</f>
        <v>3244032</v>
      </c>
    </row>
    <row r="12" customFormat="false" ht="15" hidden="false" customHeight="false" outlineLevel="0" collapsed="false">
      <c r="A12" s="21" t="s">
        <v>129</v>
      </c>
    </row>
    <row r="13" customFormat="false" ht="43.5" hidden="false" customHeight="true" outlineLevel="0" collapsed="false">
      <c r="A13" s="5" t="s">
        <v>53</v>
      </c>
      <c r="B13" s="5" t="s">
        <v>130</v>
      </c>
      <c r="C13" s="5" t="s">
        <v>131</v>
      </c>
      <c r="D13" s="5" t="s">
        <v>132</v>
      </c>
      <c r="E13" s="5" t="s">
        <v>133</v>
      </c>
      <c r="F13" s="5" t="s">
        <v>134</v>
      </c>
      <c r="G13" s="5" t="s">
        <v>135</v>
      </c>
      <c r="H13" s="5" t="s">
        <v>136</v>
      </c>
      <c r="I13" s="5" t="s">
        <v>137</v>
      </c>
      <c r="J13" s="5" t="s">
        <v>138</v>
      </c>
      <c r="K13" s="5" t="s">
        <v>139</v>
      </c>
      <c r="L13" s="5" t="s">
        <v>140</v>
      </c>
      <c r="M13" s="5" t="s">
        <v>141</v>
      </c>
      <c r="N13" s="5" t="s">
        <v>63</v>
      </c>
    </row>
    <row r="14" customFormat="false" ht="15" hidden="false" customHeight="false" outlineLevel="0" collapsed="false">
      <c r="A14" s="18" t="n">
        <v>128</v>
      </c>
      <c r="B14" s="25" t="n">
        <f aca="false">GD3_FixedContext!B20</f>
        <v>1254847</v>
      </c>
      <c r="C14" s="11" t="n">
        <v>1201663</v>
      </c>
      <c r="D14" s="19" t="n">
        <f aca="false">ROUNDUP(B14/8,0)</f>
        <v>156856</v>
      </c>
      <c r="E14" s="19" t="n">
        <f aca="false">ROUNDUP(C14/8,0)</f>
        <v>150208</v>
      </c>
      <c r="F14" s="13" t="n">
        <f aca="false">$B$3/D14</f>
        <v>6.37527413678788</v>
      </c>
      <c r="G14" s="13" t="n">
        <f aca="false">$B$3/E14</f>
        <v>6.65743502343417</v>
      </c>
      <c r="H14" s="14" t="n">
        <f aca="false">1-E14/D14</f>
        <v>0.0423828224613658</v>
      </c>
      <c r="I14" s="27" t="n">
        <f aca="false">B14/$B$4</f>
        <v>1.26018008210748</v>
      </c>
      <c r="J14" s="27" t="n">
        <f aca="false">C14/$B$4</f>
        <v>1.20677005085522</v>
      </c>
      <c r="K14" s="28" t="n">
        <f aca="false">GD3_FixedContext!G20</f>
        <v>3504.67</v>
      </c>
      <c r="L14" s="16" t="n">
        <v>4973.229436</v>
      </c>
      <c r="M14" s="17" t="n">
        <f aca="false">L14/K14-1</f>
        <v>0.419029305469559</v>
      </c>
      <c r="N14" s="6" t="s">
        <v>69</v>
      </c>
    </row>
    <row r="15" customFormat="false" ht="15" hidden="false" customHeight="false" outlineLevel="0" collapsed="false">
      <c r="A15" s="18" t="n">
        <v>512</v>
      </c>
      <c r="B15" s="25" t="n">
        <f aca="false">GD3_FixedContext!B22</f>
        <v>1138347</v>
      </c>
      <c r="C15" s="11" t="n">
        <v>1086476</v>
      </c>
      <c r="D15" s="19" t="n">
        <f aca="false">ROUNDUP(B15/8,0)</f>
        <v>142294</v>
      </c>
      <c r="E15" s="19" t="n">
        <f aca="false">ROUNDUP(C15/8,0)</f>
        <v>135810</v>
      </c>
      <c r="F15" s="13" t="n">
        <f aca="false">$B$3/D15</f>
        <v>7.0277032060382</v>
      </c>
      <c r="G15" s="13" t="n">
        <f aca="false">$B$3/E15</f>
        <v>7.36322803917237</v>
      </c>
      <c r="H15" s="14" t="n">
        <f aca="false">1-E15/D15</f>
        <v>0.0455676275879517</v>
      </c>
      <c r="I15" s="27" t="n">
        <f aca="false">B15/$B$4</f>
        <v>1.14318495874541</v>
      </c>
      <c r="J15" s="27" t="n">
        <f aca="false">C15/$B$4</f>
        <v>1.09109350772469</v>
      </c>
      <c r="K15" s="28" t="n">
        <f aca="false">GD3_FixedContext!G22</f>
        <v>14486.5</v>
      </c>
      <c r="L15" s="16" t="n">
        <v>16030.614694</v>
      </c>
      <c r="M15" s="17" t="n">
        <f aca="false">L15/K15-1</f>
        <v>0.106589907431057</v>
      </c>
      <c r="N15" s="6" t="s">
        <v>69</v>
      </c>
    </row>
    <row r="16" customFormat="false" ht="30" hidden="false" customHeight="true" outlineLevel="0" collapsed="false">
      <c r="A16" s="24" t="s">
        <v>142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customFormat="false" ht="30" hidden="false" customHeight="true" outlineLevel="0" collapsed="false">
      <c r="A17" s="24" t="s">
        <v>143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9" customFormat="false" ht="15" hidden="false" customHeight="false" outlineLevel="0" collapsed="false">
      <c r="A19" s="21" t="s">
        <v>144</v>
      </c>
    </row>
    <row r="20" customFormat="false" ht="43.5" hidden="false" customHeight="true" outlineLevel="0" collapsed="false">
      <c r="A20" s="5" t="s">
        <v>53</v>
      </c>
      <c r="B20" s="5" t="s">
        <v>145</v>
      </c>
      <c r="C20" s="5" t="s">
        <v>146</v>
      </c>
      <c r="D20" s="5" t="s">
        <v>147</v>
      </c>
      <c r="E20" s="5" t="s">
        <v>148</v>
      </c>
      <c r="F20" s="5" t="s">
        <v>149</v>
      </c>
      <c r="G20" s="5" t="s">
        <v>150</v>
      </c>
      <c r="H20" s="5" t="s">
        <v>151</v>
      </c>
    </row>
    <row r="21" customFormat="false" ht="15" hidden="false" customHeight="false" outlineLevel="0" collapsed="false">
      <c r="A21" s="6" t="n">
        <f aca="false">A14</f>
        <v>128</v>
      </c>
      <c r="B21" s="19" t="n">
        <f aca="false">E14</f>
        <v>150208</v>
      </c>
      <c r="C21" s="19" t="n">
        <f aca="false">B21+$B$9</f>
        <v>3403312</v>
      </c>
      <c r="D21" s="13" t="n">
        <f aca="false">$B$3/C21</f>
        <v>0.293831420686672</v>
      </c>
      <c r="E21" s="25" t="n">
        <f aca="false">GD2_Baseline!$G$9</f>
        <v>281323</v>
      </c>
      <c r="F21" s="6" t="str">
        <f aca="false">IF(C21&lt;E21,"Tốt hơn","Kém hơn")</f>
        <v>Kém hơn</v>
      </c>
      <c r="G21" s="19" t="n">
        <f aca="false">D14-E14</f>
        <v>6648</v>
      </c>
      <c r="H21" s="19" t="n">
        <f aca="false">$B$9/G21*$B$3/1000000</f>
        <v>489.335740072202</v>
      </c>
    </row>
    <row r="22" customFormat="false" ht="15" hidden="false" customHeight="false" outlineLevel="0" collapsed="false">
      <c r="A22" s="6" t="n">
        <f aca="false">A15</f>
        <v>512</v>
      </c>
      <c r="B22" s="19" t="n">
        <f aca="false">E15</f>
        <v>135810</v>
      </c>
      <c r="C22" s="19" t="n">
        <f aca="false">B22+$B$9</f>
        <v>3388914</v>
      </c>
      <c r="D22" s="13" t="n">
        <f aca="false">$B$3/C22</f>
        <v>0.295079780720313</v>
      </c>
      <c r="E22" s="25" t="n">
        <f aca="false">GD2_Baseline!$G$9</f>
        <v>281323</v>
      </c>
      <c r="F22" s="6" t="str">
        <f aca="false">IF(C22&lt;E22,"Tốt hơn","Kém hơn")</f>
        <v>Kém hơn</v>
      </c>
      <c r="G22" s="19" t="n">
        <f aca="false">D15-E15</f>
        <v>6484</v>
      </c>
      <c r="H22" s="19" t="n">
        <f aca="false">$B$9/G22*$B$3/1000000</f>
        <v>501.712523133868</v>
      </c>
    </row>
    <row r="23" customFormat="false" ht="30" hidden="false" customHeight="true" outlineLevel="0" collapsed="false">
      <c r="A23" s="24" t="s">
        <v>152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5" customFormat="false" ht="15" hidden="false" customHeight="false" outlineLevel="0" collapsed="false">
      <c r="A25" s="21" t="s">
        <v>153</v>
      </c>
    </row>
    <row r="26" customFormat="false" ht="43.5" hidden="false" customHeight="true" outlineLevel="0" collapsed="false">
      <c r="A26" s="5" t="s">
        <v>154</v>
      </c>
      <c r="B26" s="5" t="s">
        <v>155</v>
      </c>
      <c r="C26" s="5" t="s">
        <v>156</v>
      </c>
      <c r="D26" s="5" t="s">
        <v>157</v>
      </c>
      <c r="E26" s="5" t="s">
        <v>158</v>
      </c>
      <c r="F26" s="5" t="s">
        <v>159</v>
      </c>
      <c r="G26" s="5" t="s">
        <v>160</v>
      </c>
      <c r="H26" s="5" t="s">
        <v>161</v>
      </c>
      <c r="I26" s="5" t="s">
        <v>65</v>
      </c>
    </row>
    <row r="27" customFormat="false" ht="42" hidden="false" customHeight="true" outlineLevel="0" collapsed="false">
      <c r="A27" s="22" t="s">
        <v>162</v>
      </c>
      <c r="B27" s="7" t="s">
        <v>163</v>
      </c>
      <c r="C27" s="34" t="n">
        <v>3.05745534896851</v>
      </c>
      <c r="D27" s="34" t="n">
        <v>2.97336201667786</v>
      </c>
      <c r="E27" s="14" t="n">
        <f aca="false">D27/C27-1</f>
        <v>-0.0275043533567941</v>
      </c>
      <c r="F27" s="35" t="n">
        <v>21.2733549637829</v>
      </c>
      <c r="G27" s="35" t="n">
        <v>19.557562038459</v>
      </c>
      <c r="H27" s="17" t="n">
        <f aca="false">G27/F27-1</f>
        <v>-0.0806545525256818</v>
      </c>
      <c r="I27" s="7" t="s">
        <v>164</v>
      </c>
    </row>
    <row r="28" customFormat="false" ht="42" hidden="false" customHeight="true" outlineLevel="0" collapsed="false">
      <c r="A28" s="22" t="s">
        <v>165</v>
      </c>
      <c r="B28" s="7" t="s">
        <v>166</v>
      </c>
      <c r="C28" s="34" t="n">
        <v>3.16347914934158</v>
      </c>
      <c r="D28" s="34" t="n">
        <v>3.08502568304539</v>
      </c>
      <c r="E28" s="14" t="n">
        <f aca="false">D28/C28-1</f>
        <v>-0.0247997418641178</v>
      </c>
      <c r="F28" s="35" t="n">
        <v>23.6527423858643</v>
      </c>
      <c r="G28" s="35" t="n">
        <v>21.8680305480957</v>
      </c>
      <c r="H28" s="17" t="n">
        <f aca="false">G28/F28-1</f>
        <v>-0.0754547531382749</v>
      </c>
      <c r="I28" s="7" t="s">
        <v>167</v>
      </c>
    </row>
    <row r="31" customFormat="false" ht="15" hidden="false" customHeight="false" outlineLevel="0" collapsed="false">
      <c r="A31" s="21" t="s">
        <v>168</v>
      </c>
    </row>
    <row r="32" customFormat="false" ht="15" hidden="false" customHeight="false" outlineLevel="0" collapsed="false">
      <c r="A32" s="22" t="s">
        <v>169</v>
      </c>
      <c r="B32" s="12" t="s">
        <v>170</v>
      </c>
      <c r="C32" s="12"/>
      <c r="D32" s="12"/>
    </row>
    <row r="33" customFormat="false" ht="15" hidden="false" customHeight="false" outlineLevel="0" collapsed="false">
      <c r="A33" s="22" t="s">
        <v>171</v>
      </c>
      <c r="B33" s="12" t="s">
        <v>172</v>
      </c>
      <c r="C33" s="12"/>
      <c r="D33" s="12"/>
    </row>
    <row r="34" customFormat="false" ht="15" hidden="false" customHeight="false" outlineLevel="0" collapsed="false">
      <c r="A34" s="22" t="s">
        <v>173</v>
      </c>
      <c r="B34" s="12" t="s">
        <v>174</v>
      </c>
      <c r="C34" s="12"/>
      <c r="D34" s="12"/>
    </row>
    <row r="35" customFormat="false" ht="15" hidden="false" customHeight="false" outlineLevel="0" collapsed="false">
      <c r="A35" s="22" t="s">
        <v>175</v>
      </c>
      <c r="B35" s="16" t="n">
        <v>48.6143009662628</v>
      </c>
    </row>
    <row r="36" customFormat="false" ht="15" hidden="false" customHeight="false" outlineLevel="0" collapsed="false">
      <c r="A36" s="22" t="s">
        <v>176</v>
      </c>
      <c r="B36" s="16" t="n">
        <v>2749.2373046875</v>
      </c>
    </row>
    <row r="37" customFormat="false" ht="15" hidden="false" customHeight="false" outlineLevel="0" collapsed="false">
      <c r="A37" s="22" t="s">
        <v>177</v>
      </c>
      <c r="B37" s="16" t="n">
        <v>3024</v>
      </c>
    </row>
    <row r="38" customFormat="false" ht="15" hidden="false" customHeight="false" outlineLevel="0" collapsed="false">
      <c r="A38" s="22" t="s">
        <v>178</v>
      </c>
      <c r="B38" s="12" t="s">
        <v>179</v>
      </c>
      <c r="C38" s="12"/>
      <c r="D38" s="12"/>
    </row>
  </sheetData>
  <mergeCells count="7">
    <mergeCell ref="A16:N16"/>
    <mergeCell ref="A17:N17"/>
    <mergeCell ref="A23:N23"/>
    <mergeCell ref="B32:D32"/>
    <mergeCell ref="B33:D33"/>
    <mergeCell ref="B34:D34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F9" activeCellId="0" sqref="F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6" min="6" style="0" width="56"/>
  </cols>
  <sheetData>
    <row r="1" customFormat="false" ht="18" hidden="false" customHeight="true" outlineLevel="0" collapsed="false">
      <c r="A1" s="1" t="s">
        <v>2</v>
      </c>
    </row>
    <row r="2" customFormat="false" ht="15" hidden="false" customHeight="false" outlineLevel="0" collapsed="false">
      <c r="A2" s="2" t="s">
        <v>180</v>
      </c>
    </row>
    <row r="3" customFormat="false" ht="43.5" hidden="false" customHeight="true" outlineLevel="0" collapsed="false">
      <c r="A3" s="5" t="s">
        <v>4</v>
      </c>
      <c r="B3" s="5" t="s">
        <v>181</v>
      </c>
      <c r="C3" s="5" t="s">
        <v>182</v>
      </c>
      <c r="D3" s="5" t="s">
        <v>183</v>
      </c>
      <c r="E3" s="5" t="s">
        <v>184</v>
      </c>
      <c r="F3" s="5" t="s">
        <v>185</v>
      </c>
    </row>
    <row r="4" customFormat="false" ht="61.5" hidden="false" customHeight="true" outlineLevel="0" collapsed="false">
      <c r="A4" s="6" t="n">
        <v>1</v>
      </c>
      <c r="B4" s="7" t="s">
        <v>186</v>
      </c>
      <c r="C4" s="7" t="s">
        <v>187</v>
      </c>
      <c r="D4" s="7" t="s">
        <v>188</v>
      </c>
      <c r="E4" s="7" t="s">
        <v>189</v>
      </c>
      <c r="F4" s="7" t="s">
        <v>190</v>
      </c>
    </row>
    <row r="5" customFormat="false" ht="61.5" hidden="false" customHeight="true" outlineLevel="0" collapsed="false">
      <c r="A5" s="6" t="n">
        <v>2</v>
      </c>
      <c r="B5" s="7" t="s">
        <v>191</v>
      </c>
      <c r="C5" s="36" t="s">
        <v>192</v>
      </c>
      <c r="D5" s="7" t="s">
        <v>193</v>
      </c>
      <c r="E5" s="7" t="s">
        <v>194</v>
      </c>
      <c r="F5" s="37" t="s">
        <v>195</v>
      </c>
      <c r="G5" s="38" t="s">
        <v>20</v>
      </c>
    </row>
    <row r="6" customFormat="false" ht="61.5" hidden="false" customHeight="true" outlineLevel="0" collapsed="false">
      <c r="A6" s="6" t="n">
        <v>3</v>
      </c>
      <c r="B6" s="7" t="s">
        <v>196</v>
      </c>
      <c r="C6" s="39" t="s">
        <v>197</v>
      </c>
      <c r="D6" s="7" t="s">
        <v>198</v>
      </c>
      <c r="E6" s="7" t="s">
        <v>199</v>
      </c>
      <c r="F6" s="7" t="s">
        <v>200</v>
      </c>
    </row>
    <row r="7" customFormat="false" ht="61.5" hidden="false" customHeight="true" outlineLevel="0" collapsed="false">
      <c r="A7" s="6" t="n">
        <v>4</v>
      </c>
      <c r="B7" s="7" t="s">
        <v>201</v>
      </c>
      <c r="C7" s="7" t="s">
        <v>30</v>
      </c>
      <c r="D7" s="7" t="s">
        <v>202</v>
      </c>
      <c r="E7" s="7" t="s">
        <v>203</v>
      </c>
      <c r="F7" s="7" t="s">
        <v>204</v>
      </c>
    </row>
    <row r="8" customFormat="false" ht="61.5" hidden="false" customHeight="true" outlineLevel="0" collapsed="false">
      <c r="A8" s="6" t="n">
        <v>5</v>
      </c>
      <c r="B8" s="7" t="s">
        <v>205</v>
      </c>
      <c r="C8" s="7" t="s">
        <v>206</v>
      </c>
      <c r="D8" s="7" t="s">
        <v>207</v>
      </c>
      <c r="E8" s="7" t="s">
        <v>208</v>
      </c>
      <c r="F8" s="7" t="s">
        <v>209</v>
      </c>
    </row>
    <row r="9" customFormat="false" ht="61.5" hidden="false" customHeight="true" outlineLevel="0" collapsed="false">
      <c r="A9" s="6" t="n">
        <v>6</v>
      </c>
      <c r="B9" s="7" t="s">
        <v>210</v>
      </c>
      <c r="C9" s="7" t="s">
        <v>211</v>
      </c>
      <c r="D9" s="7" t="s">
        <v>212</v>
      </c>
      <c r="E9" s="7" t="s">
        <v>213</v>
      </c>
      <c r="F9" s="7" t="s">
        <v>214</v>
      </c>
    </row>
    <row r="10" customFormat="false" ht="61.5" hidden="false" customHeight="true" outlineLevel="0" collapsed="false">
      <c r="A10" s="6" t="n">
        <v>7</v>
      </c>
      <c r="B10" s="7" t="s">
        <v>215</v>
      </c>
      <c r="C10" s="40" t="s">
        <v>216</v>
      </c>
      <c r="D10" s="7" t="s">
        <v>217</v>
      </c>
      <c r="E10" s="7" t="s">
        <v>213</v>
      </c>
      <c r="F10" s="7" t="s">
        <v>218</v>
      </c>
    </row>
    <row r="11" customFormat="false" ht="61.5" hidden="false" customHeight="true" outlineLevel="0" collapsed="false">
      <c r="A11" s="6" t="n">
        <v>8</v>
      </c>
      <c r="B11" s="7" t="s">
        <v>219</v>
      </c>
      <c r="C11" s="39" t="s">
        <v>220</v>
      </c>
      <c r="D11" s="7" t="s">
        <v>221</v>
      </c>
      <c r="E11" s="7" t="s">
        <v>190</v>
      </c>
      <c r="F11" s="7" t="s">
        <v>222</v>
      </c>
    </row>
    <row r="12" customFormat="false" ht="61.5" hidden="false" customHeight="true" outlineLevel="0" collapsed="false">
      <c r="A12" s="6" t="n">
        <v>9</v>
      </c>
      <c r="B12" s="7" t="s">
        <v>223</v>
      </c>
      <c r="C12" s="39" t="s">
        <v>224</v>
      </c>
      <c r="D12" s="7" t="s">
        <v>225</v>
      </c>
      <c r="E12" s="7" t="s">
        <v>226</v>
      </c>
      <c r="F12" s="7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10" min="9" style="0" width="16"/>
    <col collapsed="false" customWidth="true" hidden="false" outlineLevel="0" max="15" min="11" style="0" width="8"/>
    <col collapsed="false" customWidth="true" hidden="false" outlineLevel="0" max="16" min="16" style="0" width="15"/>
    <col collapsed="false" customWidth="true" hidden="false" outlineLevel="0" max="18" min="17" style="0" width="16"/>
    <col collapsed="false" customWidth="true" hidden="false" outlineLevel="0" max="19" min="19" style="0" width="52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3" customFormat="false" ht="15" hidden="false" customHeight="false" outlineLevel="0" collapsed="false">
      <c r="A3" s="10" t="s">
        <v>230</v>
      </c>
      <c r="B3" s="25" t="n">
        <f aca="false">GD2_Baseline!B5</f>
        <v>286273</v>
      </c>
      <c r="J3" s="41" t="s">
        <v>231</v>
      </c>
      <c r="K3" s="18" t="n">
        <v>32</v>
      </c>
      <c r="L3" s="18" t="n">
        <v>64</v>
      </c>
      <c r="M3" s="18" t="n">
        <v>128</v>
      </c>
      <c r="N3" s="18" t="n">
        <v>256</v>
      </c>
      <c r="O3" s="18" t="n">
        <v>512</v>
      </c>
    </row>
    <row r="5" customFormat="false" ht="15" hidden="false" customHeight="false" outlineLevel="0" collapsed="false">
      <c r="A5" s="21" t="s">
        <v>232</v>
      </c>
    </row>
    <row r="6" customFormat="false" ht="43.5" hidden="false" customHeight="true" outlineLevel="0" collapsed="false">
      <c r="A6" s="5" t="s">
        <v>233</v>
      </c>
      <c r="B6" s="5" t="s">
        <v>234</v>
      </c>
      <c r="C6" s="5" t="s">
        <v>235</v>
      </c>
      <c r="D6" s="5" t="s">
        <v>56</v>
      </c>
      <c r="E6" s="5" t="s">
        <v>57</v>
      </c>
      <c r="F6" s="5" t="s">
        <v>60</v>
      </c>
      <c r="G6" s="5" t="s">
        <v>61</v>
      </c>
      <c r="H6" s="5" t="s">
        <v>236</v>
      </c>
      <c r="I6" s="5" t="s">
        <v>237</v>
      </c>
      <c r="J6" s="5" t="s">
        <v>63</v>
      </c>
      <c r="K6" s="5" t="s">
        <v>238</v>
      </c>
      <c r="L6" s="5" t="s">
        <v>239</v>
      </c>
      <c r="M6" s="5" t="s">
        <v>240</v>
      </c>
      <c r="N6" s="5" t="s">
        <v>241</v>
      </c>
      <c r="O6" s="5" t="s">
        <v>242</v>
      </c>
      <c r="P6" s="5" t="s">
        <v>243</v>
      </c>
      <c r="Q6" s="5" t="s">
        <v>244</v>
      </c>
      <c r="R6" s="5" t="s">
        <v>245</v>
      </c>
      <c r="S6" s="5" t="s">
        <v>65</v>
      </c>
    </row>
    <row r="7" customFormat="false" ht="39.75" hidden="false" customHeight="true" outlineLevel="0" collapsed="false">
      <c r="A7" s="10" t="s">
        <v>246</v>
      </c>
      <c r="B7" s="12" t="s">
        <v>247</v>
      </c>
      <c r="C7" s="6" t="s">
        <v>190</v>
      </c>
      <c r="D7" s="11" t="n">
        <v>216388</v>
      </c>
      <c r="E7" s="42" t="n">
        <f aca="false">GD2_Baseline!$B$3/D7</f>
        <v>4.62132835462225</v>
      </c>
      <c r="F7" s="16" t="n">
        <v>196.012219411001</v>
      </c>
      <c r="G7" s="16" t="n">
        <v>9414.866075763</v>
      </c>
      <c r="H7" s="43" t="n">
        <f aca="false">IF(AND(ISNUMBER(G7),ISNUMBER(F7)),G7/F7,"")</f>
        <v>48.0320364926933</v>
      </c>
      <c r="I7" s="16" t="n">
        <v>768.537109375</v>
      </c>
      <c r="J7" s="44" t="s">
        <v>248</v>
      </c>
      <c r="K7" s="11" t="n">
        <v>1</v>
      </c>
      <c r="L7" s="11" t="n">
        <v>17</v>
      </c>
      <c r="M7" s="11" t="n">
        <v>50</v>
      </c>
      <c r="N7" s="11" t="n">
        <v>397</v>
      </c>
      <c r="O7" s="11" t="n">
        <v>346</v>
      </c>
      <c r="P7" s="19" t="n">
        <f aca="false">SUMPRODUCT(K7:O7,$K$3:$O$3^2)</f>
        <v>117609472</v>
      </c>
      <c r="Q7" s="45" t="n">
        <f aca="false">IF(ISNUMBER(G7),G7/P7*100000,"")</f>
        <v>8.00519372773224</v>
      </c>
      <c r="R7" s="12"/>
      <c r="S7" s="7" t="s">
        <v>249</v>
      </c>
    </row>
    <row r="8" customFormat="false" ht="39.75" hidden="false" customHeight="true" outlineLevel="0" collapsed="false">
      <c r="A8" s="10" t="s">
        <v>246</v>
      </c>
      <c r="B8" s="12" t="s">
        <v>250</v>
      </c>
      <c r="C8" s="34" t="n">
        <v>0.201930999755859</v>
      </c>
      <c r="D8" s="11" t="n">
        <v>275748</v>
      </c>
      <c r="E8" s="42" t="n">
        <f aca="false">GD2_Baseline!$B$3/D8</f>
        <v>3.62649955756705</v>
      </c>
      <c r="F8" s="16" t="n">
        <v>173.294436093</v>
      </c>
      <c r="G8" s="16" t="n">
        <v>9515.364407281</v>
      </c>
      <c r="H8" s="43" t="n">
        <f aca="false">IF(AND(ISNUMBER(G8),ISNUMBER(F8)),G8/F8,"")</f>
        <v>54.9086550140276</v>
      </c>
      <c r="I8" s="16" t="n">
        <v>767.912109375</v>
      </c>
      <c r="J8" s="46" t="s">
        <v>251</v>
      </c>
      <c r="K8" s="11" t="n">
        <v>1</v>
      </c>
      <c r="L8" s="11" t="n">
        <v>17</v>
      </c>
      <c r="M8" s="11" t="n">
        <v>50</v>
      </c>
      <c r="N8" s="11" t="n">
        <v>397</v>
      </c>
      <c r="O8" s="11" t="n">
        <v>346</v>
      </c>
      <c r="P8" s="19" t="n">
        <f aca="false">SUMPRODUCT(K8:O8,$K$3:$O$3^2)</f>
        <v>117609472</v>
      </c>
      <c r="Q8" s="45" t="n">
        <f aca="false">IF(ISNUMBER(G8),G8/P8*100000,"")</f>
        <v>8.09064461005403</v>
      </c>
      <c r="R8" s="12"/>
      <c r="S8" s="7" t="s">
        <v>252</v>
      </c>
    </row>
    <row r="9" customFormat="false" ht="39.75" hidden="false" customHeight="true" outlineLevel="0" collapsed="false">
      <c r="A9" s="10" t="s">
        <v>246</v>
      </c>
      <c r="B9" s="12" t="s">
        <v>250</v>
      </c>
      <c r="C9" s="34" t="n">
        <v>0.151939392089844</v>
      </c>
      <c r="D9" s="11" t="n">
        <v>271367</v>
      </c>
      <c r="E9" s="42" t="n">
        <f aca="false">GD2_Baseline!$B$3/D9</f>
        <v>3.6850464500105</v>
      </c>
      <c r="F9" s="20" t="s">
        <v>80</v>
      </c>
      <c r="G9" s="16" t="n">
        <v>9518.134973539</v>
      </c>
      <c r="H9" s="43" t="str">
        <f aca="false">IF(AND(ISNUMBER(G9),ISNUMBER(F9)),G9/F9,"")</f>
        <v/>
      </c>
      <c r="I9" s="16" t="n">
        <v>767.912109375</v>
      </c>
      <c r="J9" s="46" t="s">
        <v>251</v>
      </c>
      <c r="K9" s="11" t="n">
        <v>1</v>
      </c>
      <c r="L9" s="11" t="n">
        <v>17</v>
      </c>
      <c r="M9" s="11" t="n">
        <v>50</v>
      </c>
      <c r="N9" s="11" t="n">
        <v>397</v>
      </c>
      <c r="O9" s="11" t="n">
        <v>346</v>
      </c>
      <c r="P9" s="19" t="n">
        <f aca="false">SUMPRODUCT(K9:O9,$K$3:$O$3^2)</f>
        <v>117609472</v>
      </c>
      <c r="Q9" s="45" t="n">
        <f aca="false">IF(ISNUMBER(G9),G9/P9*100000,"")</f>
        <v>8.09300034400205</v>
      </c>
      <c r="R9" s="12"/>
      <c r="S9" s="7" t="s">
        <v>253</v>
      </c>
    </row>
    <row r="10" customFormat="false" ht="39.75" hidden="false" customHeight="true" outlineLevel="0" collapsed="false">
      <c r="A10" s="10" t="s">
        <v>246</v>
      </c>
      <c r="B10" s="12" t="s">
        <v>254</v>
      </c>
      <c r="C10" s="6" t="s">
        <v>190</v>
      </c>
      <c r="D10" s="11" t="n">
        <v>216534</v>
      </c>
      <c r="E10" s="42" t="n">
        <f aca="false">GD2_Baseline!$B$3/D10</f>
        <v>4.61821238235104</v>
      </c>
      <c r="F10" s="20" t="s">
        <v>80</v>
      </c>
      <c r="G10" s="16" t="n">
        <v>9523.105505017</v>
      </c>
      <c r="H10" s="43" t="str">
        <f aca="false">IF(AND(ISNUMBER(G10),ISNUMBER(F10)),G10/F10,"")</f>
        <v/>
      </c>
      <c r="I10" s="16" t="n">
        <v>768.7744140625</v>
      </c>
      <c r="J10" s="46" t="s">
        <v>251</v>
      </c>
      <c r="K10" s="11" t="n">
        <v>1</v>
      </c>
      <c r="L10" s="11" t="n">
        <v>17</v>
      </c>
      <c r="M10" s="11" t="n">
        <v>50</v>
      </c>
      <c r="N10" s="11" t="n">
        <v>397</v>
      </c>
      <c r="O10" s="11" t="n">
        <v>346</v>
      </c>
      <c r="P10" s="19" t="n">
        <f aca="false">SUMPRODUCT(K10:O10,$K$3:$O$3^2)</f>
        <v>117609472</v>
      </c>
      <c r="Q10" s="45" t="n">
        <f aca="false">IF(ISNUMBER(G10),G10/P10*100000,"")</f>
        <v>8.09722664601113</v>
      </c>
      <c r="R10" s="12"/>
      <c r="S10" s="7" t="s">
        <v>255</v>
      </c>
    </row>
    <row r="11" customFormat="false" ht="39.75" hidden="false" customHeight="true" outlineLevel="0" collapsed="false">
      <c r="A11" s="10" t="s">
        <v>256</v>
      </c>
      <c r="B11" s="12" t="s">
        <v>247</v>
      </c>
      <c r="C11" s="6" t="s">
        <v>190</v>
      </c>
      <c r="D11" s="11" t="n">
        <v>237904</v>
      </c>
      <c r="E11" s="42" t="n">
        <f aca="false">GD2_Baseline!$B$3/D11</f>
        <v>4.20337615172507</v>
      </c>
      <c r="F11" s="16" t="n">
        <v>194.749328348004</v>
      </c>
      <c r="G11" s="16" t="n">
        <v>4605.530830535</v>
      </c>
      <c r="H11" s="43" t="n">
        <f aca="false">IF(AND(ISNUMBER(G11),ISNUMBER(F11)),G11/F11,"")</f>
        <v>23.6485068760044</v>
      </c>
      <c r="I11" s="16" t="n">
        <v>777.25634765625</v>
      </c>
      <c r="J11" s="46" t="s">
        <v>251</v>
      </c>
      <c r="K11" s="11" t="n">
        <v>39</v>
      </c>
      <c r="L11" s="11" t="n">
        <v>380</v>
      </c>
      <c r="M11" s="11" t="n">
        <v>1401</v>
      </c>
      <c r="N11" s="11" t="n">
        <v>292</v>
      </c>
      <c r="O11" s="11" t="n">
        <v>13</v>
      </c>
      <c r="P11" s="19" t="n">
        <f aca="false">SUMPRODUCT(K11:O11,$K$3:$O$3^2)</f>
        <v>47094784</v>
      </c>
      <c r="Q11" s="45" t="n">
        <f aca="false">IF(ISNUMBER(G11),G11/P11*100000,"")</f>
        <v>9.77928008022078</v>
      </c>
      <c r="R11" s="12"/>
      <c r="S11" s="7" t="s">
        <v>257</v>
      </c>
    </row>
    <row r="12" customFormat="false" ht="18" hidden="false" customHeight="true" outlineLevel="0" collapsed="false">
      <c r="A12" s="10" t="s">
        <v>258</v>
      </c>
      <c r="B12" s="12" t="s">
        <v>247</v>
      </c>
      <c r="C12" s="6" t="s">
        <v>190</v>
      </c>
      <c r="D12" s="11" t="n">
        <v>258195</v>
      </c>
      <c r="E12" s="42" t="n">
        <f aca="false">GD2_Baseline!$B$3/D12</f>
        <v>3.87304169329383</v>
      </c>
      <c r="F12" s="16" t="n">
        <v>195.977997545997</v>
      </c>
      <c r="G12" s="20" t="s">
        <v>80</v>
      </c>
      <c r="H12" s="43" t="str">
        <f aca="false">IF(AND(ISNUMBER(G12),ISNUMBER(F12)),G12/F12,"")</f>
        <v/>
      </c>
      <c r="I12" s="20" t="s">
        <v>80</v>
      </c>
      <c r="J12" s="6" t="s">
        <v>259</v>
      </c>
      <c r="K12" s="11" t="n">
        <v>563</v>
      </c>
      <c r="L12" s="11" t="n">
        <v>2694</v>
      </c>
      <c r="M12" s="11" t="n">
        <v>703</v>
      </c>
      <c r="N12" s="11" t="n">
        <v>23</v>
      </c>
      <c r="O12" s="11" t="n">
        <v>0</v>
      </c>
      <c r="P12" s="19" t="n">
        <f aca="false">SUMPRODUCT(K12:O12,$K$3:$O$3^2)</f>
        <v>24636416</v>
      </c>
      <c r="Q12" s="45" t="str">
        <f aca="false">IF(ISNUMBER(G12),G12/P12*100000,"")</f>
        <v/>
      </c>
      <c r="R12" s="47" t="n">
        <f aca="false">AVERAGE($Q$10,$Q$11)*P12/100000</f>
        <v>2202.06528167124</v>
      </c>
      <c r="S12" s="7"/>
    </row>
    <row r="13" customFormat="false" ht="18" hidden="false" customHeight="true" outlineLevel="0" collapsed="false">
      <c r="A13" s="10" t="s">
        <v>260</v>
      </c>
      <c r="B13" s="12" t="s">
        <v>247</v>
      </c>
      <c r="C13" s="6" t="s">
        <v>190</v>
      </c>
      <c r="D13" s="11" t="n">
        <v>287872</v>
      </c>
      <c r="E13" s="42" t="n">
        <f aca="false">GD2_Baseline!$B$3/D13</f>
        <v>3.47376611827479</v>
      </c>
      <c r="F13" s="16" t="n">
        <v>195.709878638001</v>
      </c>
      <c r="G13" s="20" t="s">
        <v>80</v>
      </c>
      <c r="H13" s="43" t="str">
        <f aca="false">IF(AND(ISNUMBER(G13),ISNUMBER(F13)),G13/F13,"")</f>
        <v/>
      </c>
      <c r="I13" s="20" t="s">
        <v>80</v>
      </c>
      <c r="J13" s="6" t="s">
        <v>259</v>
      </c>
      <c r="K13" s="11" t="n">
        <v>6735</v>
      </c>
      <c r="L13" s="11" t="n">
        <v>1100</v>
      </c>
      <c r="M13" s="11" t="n">
        <v>3</v>
      </c>
      <c r="N13" s="11" t="n">
        <v>0</v>
      </c>
      <c r="O13" s="11" t="n">
        <v>0</v>
      </c>
      <c r="P13" s="19" t="n">
        <f aca="false">SUMPRODUCT(K13:O13,$K$3:$O$3^2)</f>
        <v>11451392</v>
      </c>
      <c r="Q13" s="45" t="str">
        <f aca="false">IF(ISNUMBER(G13),G13/P13*100000,"")</f>
        <v/>
      </c>
      <c r="R13" s="47" t="n">
        <f aca="false">AVERAGE($Q$10,$Q$11)*P13/100000</f>
        <v>1023.55443056359</v>
      </c>
      <c r="S13" s="7"/>
    </row>
    <row r="14" customFormat="false" ht="30" hidden="false" customHeight="true" outlineLevel="0" collapsed="false">
      <c r="A14" s="24" t="s">
        <v>261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6" customFormat="false" ht="15" hidden="false" customHeight="false" outlineLevel="0" collapsed="false">
      <c r="A16" s="21" t="s">
        <v>262</v>
      </c>
    </row>
    <row r="17" customFormat="false" ht="15" hidden="false" customHeight="true" outlineLevel="0" collapsed="false">
      <c r="A17" s="22" t="s">
        <v>263</v>
      </c>
      <c r="B17" s="11" t="n">
        <v>126515</v>
      </c>
      <c r="D17" s="24" t="s">
        <v>264</v>
      </c>
      <c r="E17" s="24"/>
      <c r="F17" s="24"/>
      <c r="G17" s="24"/>
      <c r="H17" s="24"/>
      <c r="I17" s="24"/>
      <c r="J17" s="24"/>
      <c r="K17" s="24"/>
      <c r="L17" s="24"/>
      <c r="M17" s="24"/>
    </row>
    <row r="18" customFormat="false" ht="15" hidden="false" customHeight="false" outlineLevel="0" collapsed="false">
      <c r="A18" s="22" t="s">
        <v>265</v>
      </c>
      <c r="B18" s="17" t="n">
        <f aca="false">B17/B3</f>
        <v>0.441938289674541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customFormat="false" ht="15" hidden="false" customHeight="false" outlineLevel="0" collapsed="false">
      <c r="A19" s="22" t="s">
        <v>266</v>
      </c>
      <c r="B19" s="11" t="n">
        <v>246453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customFormat="false" ht="15" hidden="false" customHeight="false" outlineLevel="0" collapsed="false">
      <c r="A20" s="22" t="s">
        <v>267</v>
      </c>
      <c r="B20" s="45" t="n">
        <f aca="false">B19*8/B17</f>
        <v>15.5841125558234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customFormat="false" ht="15" hidden="false" customHeight="false" outlineLevel="0" collapsed="false">
      <c r="A21" s="22" t="s">
        <v>268</v>
      </c>
      <c r="B21" s="19" t="n">
        <f aca="false">D8-B19</f>
        <v>29295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customFormat="false" ht="15" hidden="false" customHeight="false" outlineLevel="0" collapsed="false">
      <c r="A22" s="22" t="s">
        <v>269</v>
      </c>
      <c r="B22" s="45" t="n">
        <f aca="false">D7*8/B3</f>
        <v>6.04703901520577</v>
      </c>
    </row>
    <row r="23" customFormat="false" ht="15" hidden="false" customHeight="false" outlineLevel="0" collapsed="false">
      <c r="A23" s="22" t="s">
        <v>270</v>
      </c>
      <c r="B23" s="19" t="n">
        <f aca="false">D8-D7</f>
        <v>59360</v>
      </c>
    </row>
    <row r="24" customFormat="false" ht="15" hidden="false" customHeight="false" outlineLevel="0" collapsed="false">
      <c r="A24" s="22" t="s">
        <v>271</v>
      </c>
      <c r="B24" s="17" t="n">
        <f aca="false">D8/D7-1</f>
        <v>0.274322051130377</v>
      </c>
    </row>
    <row r="25" customFormat="false" ht="15" hidden="false" customHeight="false" outlineLevel="0" collapsed="false">
      <c r="A25" s="22" t="s">
        <v>272</v>
      </c>
      <c r="B25" s="27" t="n">
        <f aca="false">C8/10</f>
        <v>0.0201930999755859</v>
      </c>
    </row>
    <row r="27" customFormat="false" ht="15" hidden="false" customHeight="false" outlineLevel="0" collapsed="false">
      <c r="A27" s="21" t="s">
        <v>273</v>
      </c>
    </row>
    <row r="28" customFormat="false" ht="43.5" hidden="false" customHeight="true" outlineLevel="0" collapsed="false">
      <c r="A28" s="5" t="s">
        <v>233</v>
      </c>
      <c r="B28" s="5" t="s">
        <v>274</v>
      </c>
      <c r="C28" s="5" t="s">
        <v>275</v>
      </c>
      <c r="D28" s="5" t="s">
        <v>276</v>
      </c>
      <c r="E28" s="5" t="s">
        <v>277</v>
      </c>
      <c r="F28" s="5" t="s">
        <v>278</v>
      </c>
    </row>
    <row r="29" customFormat="false" ht="15" hidden="false" customHeight="false" outlineLevel="0" collapsed="false">
      <c r="A29" s="12" t="str">
        <f aca="false">A10</f>
        <v>λ=1000</v>
      </c>
      <c r="B29" s="48" t="n">
        <f aca="false">P10/SUMPRODUCT(K10:O10,$K$3:$O$3)</f>
        <v>410.785291159048</v>
      </c>
      <c r="C29" s="25" t="n">
        <f aca="false">GD3_FixedContext!B11-(LOG(B29,2)-LOG(GD3_FixedContext!A11,2))*(GD3_FixedContext!B11-GD3_FixedContext!B12)</f>
        <v>213101.900549886</v>
      </c>
      <c r="D29" s="19" t="n">
        <f aca="false">D10</f>
        <v>216534</v>
      </c>
      <c r="E29" s="17" t="n">
        <f aca="false">D29/C29-1</f>
        <v>0.0161054380146688</v>
      </c>
      <c r="F29" s="12" t="s">
        <v>279</v>
      </c>
    </row>
    <row r="30" customFormat="false" ht="15" hidden="false" customHeight="false" outlineLevel="0" collapsed="false">
      <c r="A30" s="12" t="str">
        <f aca="false">A11</f>
        <v>λ=5000</v>
      </c>
      <c r="B30" s="48" t="n">
        <f aca="false">P11/SUMPRODUCT(K11:O11,$K$3:$O$3)</f>
        <v>164.492232033084</v>
      </c>
      <c r="C30" s="25" t="n">
        <f aca="false">GD3_FixedContext!B10-(LOG(B30,2)-LOG(GD3_FixedContext!A10,2))*(GD3_FixedContext!B10-GD3_FixedContext!B11)</f>
        <v>234138.540109535</v>
      </c>
      <c r="D30" s="19" t="n">
        <f aca="false">D11</f>
        <v>237904</v>
      </c>
      <c r="E30" s="17" t="n">
        <f aca="false">D30/C30-1</f>
        <v>0.0160821874463892</v>
      </c>
      <c r="F30" s="12" t="s">
        <v>280</v>
      </c>
    </row>
    <row r="31" customFormat="false" ht="15" hidden="false" customHeight="false" outlineLevel="0" collapsed="false">
      <c r="A31" s="12" t="str">
        <f aca="false">A12</f>
        <v>λ=12000</v>
      </c>
      <c r="B31" s="48" t="n">
        <f aca="false">P12/SUMPRODUCT(K12:O12,$K$3:$O$3)</f>
        <v>86.049849111434</v>
      </c>
      <c r="C31" s="25" t="n">
        <f aca="false">GD3_FixedContext!B9-(LOG(B31,2)-LOG(GD3_FixedContext!A9,2))*(GD3_FixedContext!B9-GD3_FixedContext!B10)</f>
        <v>254125.665594571</v>
      </c>
      <c r="D31" s="19" t="n">
        <f aca="false">D12</f>
        <v>258195</v>
      </c>
      <c r="E31" s="17" t="n">
        <f aca="false">D31/C31-1</f>
        <v>0.0160130791823325</v>
      </c>
      <c r="F31" s="12" t="s">
        <v>281</v>
      </c>
    </row>
    <row r="32" customFormat="false" ht="15" hidden="false" customHeight="false" outlineLevel="0" collapsed="false">
      <c r="A32" s="12" t="str">
        <f aca="false">A13</f>
        <v>λ=40000</v>
      </c>
      <c r="B32" s="48" t="n">
        <f aca="false">P13/SUMPRODUCT(K13:O13,$K$3:$O$3)</f>
        <v>39.9973175366045</v>
      </c>
      <c r="C32" s="25" t="n">
        <f aca="false">GD3_FixedContext!B8-(LOG(B32,2)-LOG(GD3_FixedContext!A8,2))*(GD3_FixedContext!B8-GD3_FixedContext!B9)</f>
        <v>283720.603076817</v>
      </c>
      <c r="D32" s="19" t="n">
        <f aca="false">D13</f>
        <v>287872</v>
      </c>
      <c r="E32" s="17" t="n">
        <f aca="false">D32/C32-1</f>
        <v>0.0146319896340392</v>
      </c>
      <c r="F32" s="12" t="s">
        <v>282</v>
      </c>
    </row>
    <row r="34" customFormat="false" ht="43.5" hidden="false" customHeight="true" outlineLevel="0" collapsed="false">
      <c r="A34" s="24" t="s">
        <v>283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</sheetData>
  <mergeCells count="3">
    <mergeCell ref="A14:S14"/>
    <mergeCell ref="D17:M21"/>
    <mergeCell ref="A34:S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F31" activeCellId="0" sqref="F3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48"/>
  </cols>
  <sheetData>
    <row r="1" customFormat="false" ht="18" hidden="false" customHeight="tru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3" customFormat="false" ht="15" hidden="false" customHeight="false" outlineLevel="0" collapsed="false">
      <c r="A3" s="10" t="s">
        <v>93</v>
      </c>
      <c r="B3" s="25" t="n">
        <f aca="false">GD2_Baseline!B3</f>
        <v>1000000</v>
      </c>
    </row>
    <row r="4" customFormat="false" ht="15" hidden="false" customHeight="false" outlineLevel="0" collapsed="false">
      <c r="A4" s="10" t="s">
        <v>286</v>
      </c>
      <c r="B4" s="2" t="s">
        <v>287</v>
      </c>
    </row>
    <row r="6" customFormat="false" ht="43.5" hidden="false" customHeight="true" outlineLevel="0" collapsed="false">
      <c r="A6" s="5" t="s">
        <v>288</v>
      </c>
      <c r="B6" s="5" t="s">
        <v>56</v>
      </c>
      <c r="C6" s="5" t="s">
        <v>57</v>
      </c>
      <c r="D6" s="5" t="s">
        <v>289</v>
      </c>
      <c r="E6" s="5" t="s">
        <v>60</v>
      </c>
      <c r="F6" s="5" t="s">
        <v>61</v>
      </c>
      <c r="G6" s="5" t="s">
        <v>290</v>
      </c>
      <c r="H6" s="5" t="s">
        <v>62</v>
      </c>
      <c r="I6" s="5" t="s">
        <v>291</v>
      </c>
      <c r="J6" s="5" t="s">
        <v>292</v>
      </c>
      <c r="K6" s="5" t="s">
        <v>65</v>
      </c>
    </row>
    <row r="7" customFormat="false" ht="15" hidden="false" customHeight="false" outlineLevel="0" collapsed="false">
      <c r="A7" s="10" t="s">
        <v>293</v>
      </c>
      <c r="B7" s="49"/>
      <c r="C7" s="13" t="str">
        <f aca="false">IF(ISNUMBER(B7),$B$3/B7,"")</f>
        <v/>
      </c>
      <c r="D7" s="14" t="str">
        <f aca="false">IF(AND(ISNUMBER(B7),ISNUMBER($B$11)),B7/$B$11-1,"")</f>
        <v/>
      </c>
      <c r="E7" s="49"/>
      <c r="F7" s="49"/>
      <c r="G7" s="17" t="str">
        <f aca="false">IF(AND(ISNUMBER(E7),ISNUMBER($E$11)),1-E7/$E$11,"")</f>
        <v/>
      </c>
      <c r="H7" s="49"/>
      <c r="I7" s="50"/>
      <c r="J7" s="50"/>
      <c r="K7" s="50"/>
    </row>
    <row r="8" customFormat="false" ht="15" hidden="false" customHeight="false" outlineLevel="0" collapsed="false">
      <c r="A8" s="10" t="s">
        <v>294</v>
      </c>
      <c r="B8" s="49"/>
      <c r="C8" s="13" t="str">
        <f aca="false">IF(ISNUMBER(B8),$B$3/B8,"")</f>
        <v/>
      </c>
      <c r="D8" s="14" t="str">
        <f aca="false">IF(AND(ISNUMBER(B8),ISNUMBER($B$11)),B8/$B$11-1,"")</f>
        <v/>
      </c>
      <c r="E8" s="49"/>
      <c r="F8" s="49"/>
      <c r="G8" s="17" t="str">
        <f aca="false">IF(AND(ISNUMBER(E8),ISNUMBER($E$11)),1-E8/$E$11,"")</f>
        <v/>
      </c>
      <c r="H8" s="49"/>
      <c r="I8" s="50"/>
      <c r="J8" s="50"/>
      <c r="K8" s="50"/>
    </row>
    <row r="9" customFormat="false" ht="15" hidden="false" customHeight="false" outlineLevel="0" collapsed="false">
      <c r="A9" s="10" t="s">
        <v>295</v>
      </c>
      <c r="B9" s="49"/>
      <c r="C9" s="13" t="str">
        <f aca="false">IF(ISNUMBER(B9),$B$3/B9,"")</f>
        <v/>
      </c>
      <c r="D9" s="14" t="str">
        <f aca="false">IF(AND(ISNUMBER(B9),ISNUMBER($B$11)),B9/$B$11-1,"")</f>
        <v/>
      </c>
      <c r="E9" s="49"/>
      <c r="F9" s="49"/>
      <c r="G9" s="17" t="str">
        <f aca="false">IF(AND(ISNUMBER(E9),ISNUMBER($E$11)),1-E9/$E$11,"")</f>
        <v/>
      </c>
      <c r="H9" s="49"/>
      <c r="I9" s="50"/>
      <c r="J9" s="50"/>
      <c r="K9" s="50"/>
    </row>
    <row r="10" customFormat="false" ht="15" hidden="false" customHeight="false" outlineLevel="0" collapsed="false">
      <c r="A10" s="10" t="s">
        <v>296</v>
      </c>
      <c r="B10" s="49"/>
      <c r="C10" s="13" t="str">
        <f aca="false">IF(ISNUMBER(B10),$B$3/B10,"")</f>
        <v/>
      </c>
      <c r="D10" s="14" t="str">
        <f aca="false">IF(AND(ISNUMBER(B10),ISNUMBER($B$11)),B10/$B$11-1,"")</f>
        <v/>
      </c>
      <c r="E10" s="49"/>
      <c r="F10" s="49"/>
      <c r="G10" s="17" t="str">
        <f aca="false">IF(AND(ISNUMBER(E10),ISNUMBER($E$11)),1-E10/$E$11,"")</f>
        <v/>
      </c>
      <c r="H10" s="49"/>
      <c r="I10" s="50"/>
      <c r="J10" s="50"/>
      <c r="K10" s="50"/>
    </row>
    <row r="11" customFormat="false" ht="15" hidden="false" customHeight="false" outlineLevel="0" collapsed="false">
      <c r="A11" s="10" t="s">
        <v>297</v>
      </c>
      <c r="B11" s="49"/>
      <c r="C11" s="13" t="str">
        <f aca="false">IF(ISNUMBER(B11),$B$3/B11,"")</f>
        <v/>
      </c>
      <c r="D11" s="14" t="str">
        <f aca="false">IF(AND(ISNUMBER(B11),ISNUMBER($B$11)),B11/$B$11-1,"")</f>
        <v/>
      </c>
      <c r="E11" s="49"/>
      <c r="F11" s="49"/>
      <c r="G11" s="17" t="str">
        <f aca="false">IF(AND(ISNUMBER(E11),ISNUMBER($E$11)),1-E11/$E$11,"")</f>
        <v/>
      </c>
      <c r="H11" s="49"/>
      <c r="I11" s="50"/>
      <c r="J11" s="50"/>
      <c r="K11" s="50"/>
    </row>
    <row r="12" customFormat="false" ht="15" hidden="false" customHeight="false" outlineLevel="0" collapsed="false">
      <c r="A12" s="10" t="s">
        <v>298</v>
      </c>
      <c r="B12" s="49"/>
      <c r="C12" s="13" t="str">
        <f aca="false">IF(ISNUMBER(B12),$B$3/B12,"")</f>
        <v/>
      </c>
      <c r="D12" s="14" t="str">
        <f aca="false">IF(AND(ISNUMBER(B12),ISNUMBER($B$11)),B12/$B$11-1,"")</f>
        <v/>
      </c>
      <c r="E12" s="49"/>
      <c r="F12" s="49"/>
      <c r="G12" s="17" t="str">
        <f aca="false">IF(AND(ISNUMBER(E12),ISNUMBER($E$11)),1-E12/$E$11,"")</f>
        <v/>
      </c>
      <c r="H12" s="49"/>
      <c r="I12" s="50"/>
      <c r="J12" s="50"/>
      <c r="K12" s="50"/>
    </row>
    <row r="13" customFormat="false" ht="48" hidden="false" customHeight="true" outlineLevel="0" collapsed="false">
      <c r="A13" s="10" t="s">
        <v>299</v>
      </c>
      <c r="B13" s="11" t="n">
        <v>216534</v>
      </c>
      <c r="C13" s="13" t="n">
        <f aca="false">IF(ISNUMBER(B13),$B$3/B13,"")</f>
        <v>4.61821238235104</v>
      </c>
      <c r="D13" s="14" t="str">
        <f aca="false">IF(AND(ISNUMBER(B13),ISNUMBER($B$11)),B13/$B$11-1,"")</f>
        <v/>
      </c>
      <c r="E13" s="20" t="s">
        <v>80</v>
      </c>
      <c r="F13" s="16" t="n">
        <v>9523.105505017</v>
      </c>
      <c r="G13" s="17" t="str">
        <f aca="false">IF(AND(ISNUMBER(E13),ISNUMBER($E$11)),1-E13/$E$11,"")</f>
        <v/>
      </c>
      <c r="H13" s="16" t="n">
        <v>768.7744140625</v>
      </c>
      <c r="I13" s="46" t="s">
        <v>300</v>
      </c>
      <c r="J13" s="6" t="s">
        <v>301</v>
      </c>
      <c r="K13" s="7" t="s">
        <v>302</v>
      </c>
    </row>
    <row r="14" customFormat="false" ht="15" hidden="false" customHeight="false" outlineLevel="0" collapsed="false">
      <c r="A14" s="10" t="s">
        <v>303</v>
      </c>
      <c r="B14" s="49"/>
      <c r="C14" s="13" t="str">
        <f aca="false">IF(ISNUMBER(B14),$B$3/B14,"")</f>
        <v/>
      </c>
      <c r="D14" s="14" t="str">
        <f aca="false">IF(AND(ISNUMBER(B14),ISNUMBER($B$11)),B14/$B$11-1,"")</f>
        <v/>
      </c>
      <c r="E14" s="49"/>
      <c r="F14" s="49"/>
      <c r="G14" s="17" t="str">
        <f aca="false">IF(AND(ISNUMBER(E14),ISNUMBER($E$11)),1-E14/$E$11,"")</f>
        <v/>
      </c>
      <c r="H14" s="49"/>
      <c r="I14" s="50"/>
      <c r="J14" s="50"/>
      <c r="K14" s="50"/>
    </row>
    <row r="15" customFormat="false" ht="48" hidden="false" customHeight="true" outlineLevel="0" collapsed="false">
      <c r="A15" s="10" t="s">
        <v>304</v>
      </c>
      <c r="B15" s="11" t="n">
        <v>237904</v>
      </c>
      <c r="C15" s="13" t="n">
        <f aca="false">IF(ISNUMBER(B15),$B$3/B15,"")</f>
        <v>4.20337615172507</v>
      </c>
      <c r="D15" s="14" t="str">
        <f aca="false">IF(AND(ISNUMBER(B15),ISNUMBER($B$11)),B15/$B$11-1,"")</f>
        <v/>
      </c>
      <c r="E15" s="16" t="n">
        <v>194.749328348004</v>
      </c>
      <c r="F15" s="16" t="n">
        <v>4605.530830535</v>
      </c>
      <c r="G15" s="17" t="str">
        <f aca="false">IF(AND(ISNUMBER(E15),ISNUMBER($E$11)),1-E15/$E$11,"")</f>
        <v/>
      </c>
      <c r="H15" s="16" t="n">
        <v>777.25634765625</v>
      </c>
      <c r="I15" s="46" t="s">
        <v>305</v>
      </c>
      <c r="J15" s="6" t="s">
        <v>306</v>
      </c>
      <c r="K15" s="7" t="s">
        <v>307</v>
      </c>
    </row>
    <row r="16" customFormat="false" ht="18" hidden="false" customHeight="true" outlineLevel="0" collapsed="false">
      <c r="A16" s="10" t="s">
        <v>308</v>
      </c>
      <c r="B16" s="11" t="n">
        <v>258195</v>
      </c>
      <c r="C16" s="13" t="n">
        <f aca="false">IF(ISNUMBER(B16),$B$3/B16,"")</f>
        <v>3.87304169329383</v>
      </c>
      <c r="D16" s="14" t="str">
        <f aca="false">IF(AND(ISNUMBER(B16),ISNUMBER($B$11)),B16/$B$11-1,"")</f>
        <v/>
      </c>
      <c r="E16" s="16" t="n">
        <v>195.977997545997</v>
      </c>
      <c r="F16" s="49"/>
      <c r="G16" s="17" t="str">
        <f aca="false">IF(AND(ISNUMBER(E16),ISNUMBER($E$11)),1-E16/$E$11,"")</f>
        <v/>
      </c>
      <c r="H16" s="49"/>
      <c r="I16" s="6" t="s">
        <v>309</v>
      </c>
      <c r="J16" s="6" t="s">
        <v>310</v>
      </c>
      <c r="K16" s="7" t="s">
        <v>311</v>
      </c>
    </row>
    <row r="17" customFormat="false" ht="18" hidden="false" customHeight="true" outlineLevel="0" collapsed="false">
      <c r="A17" s="10" t="s">
        <v>312</v>
      </c>
      <c r="B17" s="11" t="n">
        <v>287872</v>
      </c>
      <c r="C17" s="13" t="n">
        <f aca="false">IF(ISNUMBER(B17),$B$3/B17,"")</f>
        <v>3.47376611827479</v>
      </c>
      <c r="D17" s="14" t="str">
        <f aca="false">IF(AND(ISNUMBER(B17),ISNUMBER($B$11)),B17/$B$11-1,"")</f>
        <v/>
      </c>
      <c r="E17" s="16" t="n">
        <v>195.709878638001</v>
      </c>
      <c r="F17" s="49"/>
      <c r="G17" s="17" t="str">
        <f aca="false">IF(AND(ISNUMBER(E17),ISNUMBER($E$11)),1-E17/$E$11,"")</f>
        <v/>
      </c>
      <c r="H17" s="49"/>
      <c r="I17" s="6" t="s">
        <v>309</v>
      </c>
      <c r="J17" s="6" t="s">
        <v>313</v>
      </c>
      <c r="K17" s="7" t="s">
        <v>311</v>
      </c>
    </row>
    <row r="19" customFormat="false" ht="15" hidden="false" customHeight="false" outlineLevel="0" collapsed="false">
      <c r="A19" s="51" t="s">
        <v>314</v>
      </c>
      <c r="B19" s="52" t="n">
        <v>4685</v>
      </c>
      <c r="C19" s="53" t="s">
        <v>190</v>
      </c>
      <c r="D19" s="54" t="n">
        <f aca="false">B19/$B$19-1</f>
        <v>0</v>
      </c>
      <c r="E19" s="55" t="n">
        <v>3.6538</v>
      </c>
      <c r="G19" s="56" t="n">
        <f aca="false">1-E19/$E$19</f>
        <v>0</v>
      </c>
    </row>
    <row r="20" customFormat="false" ht="15" hidden="false" customHeight="false" outlineLevel="0" collapsed="false">
      <c r="A20" s="51" t="s">
        <v>315</v>
      </c>
      <c r="B20" s="52" t="n">
        <v>4693</v>
      </c>
      <c r="C20" s="53" t="s">
        <v>190</v>
      </c>
      <c r="D20" s="54" t="n">
        <f aca="false">B20/$B$19-1</f>
        <v>0.00170757737459981</v>
      </c>
      <c r="E20" s="55" t="n">
        <v>2.3741</v>
      </c>
      <c r="G20" s="56" t="n">
        <f aca="false">1-E20/$E$19</f>
        <v>0.350238108270841</v>
      </c>
    </row>
    <row r="22" customFormat="false" ht="15.75" hidden="false" customHeight="true" outlineLevel="0" collapsed="false">
      <c r="A22" s="24" t="s">
        <v>316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customFormat="false" ht="30" hidden="false" customHeight="true" outlineLevel="0" collapsed="false">
      <c r="A23" s="24" t="s">
        <v>317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customFormat="false" ht="15" hidden="false" customHeight="false" outlineLevel="0" collapsed="false">
      <c r="A24" s="21" t="s">
        <v>318</v>
      </c>
    </row>
    <row r="25" customFormat="false" ht="43.5" hidden="false" customHeight="true" outlineLevel="0" collapsed="false">
      <c r="A25" s="5" t="s">
        <v>319</v>
      </c>
      <c r="B25" s="5" t="s">
        <v>320</v>
      </c>
      <c r="C25" s="5" t="s">
        <v>56</v>
      </c>
      <c r="D25" s="5" t="s">
        <v>60</v>
      </c>
      <c r="E25" s="5" t="s">
        <v>321</v>
      </c>
    </row>
    <row r="26" customFormat="false" ht="15" hidden="false" customHeight="false" outlineLevel="0" collapsed="false">
      <c r="A26" s="10" t="s">
        <v>322</v>
      </c>
      <c r="B26" s="7" t="s">
        <v>323</v>
      </c>
      <c r="C26" s="49"/>
      <c r="D26" s="49"/>
      <c r="E26" s="50"/>
    </row>
    <row r="27" customFormat="false" ht="15" hidden="false" customHeight="false" outlineLevel="0" collapsed="false">
      <c r="A27" s="10" t="s">
        <v>324</v>
      </c>
      <c r="B27" s="7" t="s">
        <v>325</v>
      </c>
      <c r="C27" s="49"/>
      <c r="D27" s="49"/>
      <c r="E27" s="50"/>
    </row>
    <row r="28" customFormat="false" ht="15" hidden="false" customHeight="false" outlineLevel="0" collapsed="false">
      <c r="A28" s="10" t="s">
        <v>324</v>
      </c>
      <c r="B28" s="7" t="s">
        <v>326</v>
      </c>
      <c r="C28" s="49"/>
      <c r="D28" s="49"/>
      <c r="E28" s="50"/>
    </row>
    <row r="29" customFormat="false" ht="15" hidden="false" customHeight="false" outlineLevel="0" collapsed="false">
      <c r="A29" s="10" t="s">
        <v>327</v>
      </c>
      <c r="B29" s="7" t="s">
        <v>328</v>
      </c>
      <c r="C29" s="49"/>
      <c r="D29" s="49"/>
      <c r="E29" s="50"/>
    </row>
    <row r="30" customFormat="false" ht="25.5" hidden="false" customHeight="true" outlineLevel="0" collapsed="false">
      <c r="A30" s="10" t="s">
        <v>329</v>
      </c>
      <c r="B30" s="7" t="s">
        <v>330</v>
      </c>
      <c r="C30" s="49"/>
      <c r="D30" s="49"/>
      <c r="E30" s="50"/>
    </row>
  </sheetData>
  <mergeCells count="2">
    <mergeCell ref="A22:K22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2026-10-03T00:50:32Z</dcterms:created>
  <dc:creator>openpyxl</dc:creator>
  <dc:description/>
  <dc:language>en-US</dc:language>
  <cp:lastModifiedBy>thanhthao</cp:lastModifiedBy>
  <dcterms:modified xsi:type="dcterms:W3CDTF">2026-10-05T13:12:06Z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