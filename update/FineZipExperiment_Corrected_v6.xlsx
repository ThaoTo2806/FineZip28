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emTra_KeHoach" sheetId="1" state="visible" r:id="rId3"/>
    <sheet name="Phien_D_TongHop" sheetId="2" state="visible" r:id="rId4"/>
    <sheet name="TomTat_SuaLoi" sheetId="3" state="visible" r:id="rId5"/>
    <sheet name="GD2_Baseline" sheetId="4" state="visible" r:id="rId6"/>
    <sheet name="GD3_FixedContext" sheetId="5" state="visible" r:id="rId7"/>
    <sheet name="GD35_LoRA" sheetId="6" state="visible" r:id="rId8"/>
    <sheet name="CanChayLai" sheetId="7" state="visible" r:id="rId9"/>
    <sheet name="GD4_KetQua" sheetId="8" state="visible" r:id="rId10"/>
    <sheet name="GD5_SoSanh" sheetId="9" state="visible" r:id="rId11"/>
    <sheet name="GD5_TongHop" sheetId="10" state="visible" r:id="rId12"/>
    <sheet name="GD5_PhienA_enwik8" sheetId="11" state="visible" r:id="rId13"/>
    <sheet name="GD5_PhienB_mixed" sheetId="12" state="visible" r:id="rId14"/>
    <sheet name="GD5_LoRA_bz2" sheetId="13" state="visible" r:id="rId15"/>
    <sheet name="GD5_MauBang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2" authorId="0">
      <text>
        <r>
          <rPr>
            <sz val="10"/>
            <rFont val="Arial"/>
            <family val="2"/>
          </rPr>
          <t xml:space="preserve">Phiên D (stage5_session_D.json): Fixed-512 giải nén đầy đủ, lossless. Cùng phiên với Adaptive λ=1000 (GD4 dòng 21, GD5_MauBang dòng 13).</t>
        </r>
      </text>
    </comment>
  </commentList>
</comments>
</file>

<file path=xl/sharedStrings.xml><?xml version="1.0" encoding="utf-8"?>
<sst xmlns="http://schemas.openxmlformats.org/spreadsheetml/2006/main" count="1154" uniqueCount="707">
  <si>
    <t xml:space="preserve">Kiểm tra kế hoạch FineZip / Adaptive Context — đã thỏa yêu cầu chưa?</t>
  </si>
  <si>
    <t xml:space="preserve">Cập nhật sau phiên D. Trạng thái: ĐẠT / ĐẠT MỘT PHẦN / CHƯA ĐẠT. Bằng chứng ghi kèm sheet!ô để tự kiểm tra.</t>
  </si>
  <si>
    <t xml:space="preserve">Tổng</t>
  </si>
  <si>
    <t xml:space="preserve">Số dòng (7 yêu cầu plan + 2 bổ sung)</t>
  </si>
  <si>
    <t xml:space="preserve">ĐẠT</t>
  </si>
  <si>
    <t xml:space="preserve">ĐẠT MỘT PHẦN</t>
  </si>
  <si>
    <t xml:space="preserve">CHƯA ĐẠT</t>
  </si>
  <si>
    <t xml:space="preserve">#</t>
  </si>
  <si>
    <t xml:space="preserve">Yêu cầu (theo kế hoạch)</t>
  </si>
  <si>
    <t xml:space="preserve">Giai đoạn</t>
  </si>
  <si>
    <t xml:space="preserve">Trạng thái</t>
  </si>
  <si>
    <t xml:space="preserve">Bằng chứng (sheet!ô)</t>
  </si>
  <si>
    <t xml:space="preserve">Còn thiếu</t>
  </si>
  <si>
    <t xml:space="preserve">Việc tiếp theo</t>
  </si>
  <si>
    <t xml:space="preserve">Ưu tiên</t>
  </si>
  <si>
    <t xml:space="preserve">Nghiên cứu FineZip: LLM compression, online memorization bằng LoRA, dynamic context, rank-based</t>
  </si>
  <si>
    <t xml:space="preserve">GĐ1</t>
  </si>
  <si>
    <t xml:space="preserve">README Stage 1; GD2_Baseline (pipeline rank + bzip2); GD35_LoRA; GD5_LoRA_bz2</t>
  </si>
  <si>
    <t xml:space="preserve">—</t>
  </si>
  <si>
    <t xml:space="preserve">Giữ. Ghi rõ trong báo cáo: "dynamic context" của paper là chunk để batch, khác "context" của LLMZip-lite.</t>
  </si>
  <si>
    <t xml:space="preserve">Thấp</t>
  </si>
  <si>
    <t xml:space="preserve">Cài đặt FineZip, chạy thử enwik8 hoặc 1–10 MB, dùng LLM nhỏ hơn</t>
  </si>
  <si>
    <t xml:space="preserve">GPT-2 124M. 1 MB enwik8 (286.273 token, GD2_Baseline B3:B5). 0,96 MB hỗn hợp (GD5_PhienB_mixed).</t>
  </si>
  <si>
    <t xml:space="preserve">Mới có lát ~1 MB. Chưa có 5–10 MB.</t>
  </si>
  <si>
    <t xml:space="preserve">Encode-only trên 5–10 MB. Decode 10 MB ước tính ~37 giờ (c × Σ n·L²) — không khả thi, ghi rõ trong báo cáo.</t>
  </si>
  <si>
    <t xml:space="preserve">Trung bình</t>
  </si>
  <si>
    <t xml:space="preserve">Baseline gzip/bzip2 → LLMZip-lite → FineZip: compression ratio, thời gian nén/giải nén, memory</t>
  </si>
  <si>
    <t xml:space="preserve">GĐ2</t>
  </si>
  <si>
    <t xml:space="preserve">Ratio và enc: GD2_Baseline H8:H11, K8:K12. Dec LLMZip ctx 32 = 2.851 s (L10). Memory: M10:M11 (bs 1).</t>
  </si>
  <si>
    <t xml:space="preserve">FineZip dec chưa đo ở bs 64 (L12 trống); GPU peak bs 64 chưa đo (M12).</t>
  </si>
  <si>
    <t xml:space="preserve">Đo FineZip ctx 32, batch 64: dec + GPU peak. Dự đoán ~845 s (Phien_D_TongHop, dòng 29).</t>
  </si>
  <si>
    <t xml:space="preserve">Cao</t>
  </si>
  <si>
    <t xml:space="preserve">Thực nghiệm context 32/64/128/256/512: ảnh hưởng tỉ lệ nén và thời gian</t>
  </si>
  <si>
    <t xml:space="preserve">GĐ3</t>
  </si>
  <si>
    <t xml:space="preserve">Ratio 5 mức: GD3 C8:C12. Enc 5 mức: F8:F12 (2 lần đo lệch 3–11%). Dec + GPU: chỉ ctx 512 (GD3 J12:K12, phiên D). Fixed 32–256 enc/bytes: GD5_SoSanh.</t>
  </si>
  <si>
    <t xml:space="preserve">Dec + GPU peak cho 32, 64, 128, 256.</t>
  </si>
  <si>
    <t xml:space="preserve">Đo Fixed-128 và Fixed-256 trước (dự đoán 3.378 s và 6.755 s). Phien_D_TongHop dòng 31–32.</t>
  </si>
  <si>
    <t xml:space="preserve">Đề xuất Adaptive Context: chọn context theo entropy, mức lặp hoặc dự đoán của LLM</t>
  </si>
  <si>
    <t xml:space="preserve">GĐ4</t>
  </si>
  <si>
    <t xml:space="preserve">DPPolicy (LLM, λ 1000–40000): GD4_KetQua A7:A10. FeaturePolicy entropy/repeat/llm32: GD5_PhienA_enwik8 và GD5_PhienB_mixed mục E. Dec đầy đủ λ=1000 lossless: GD4 dòng 19 và 21.</t>
  </si>
  <si>
    <t xml:space="preserve">FeaturePolicy chưa vượt DP (GD5_TongHop B29).</t>
  </si>
  <si>
    <t xml:space="preserve">Không cần thêm. Trình bày như kết quả âm có kiểm soát.</t>
  </si>
  <si>
    <t xml:space="preserve">So sánh Fixed vs Adaptive: ratio, thời gian nén/giải nén, memory; tiết kiệm tính toán ở chất lượng nén tương đương</t>
  </si>
  <si>
    <t xml:space="preserve">GĐ5</t>
  </si>
  <si>
    <t xml:space="preserve">Phiên D cùng phiên: bytes +1,33%, dec −19,85%, GPU 768,5 MiB ở cả hai (Phien_D_TongHop B5:D9). Mô hình Σ n·L² khớp đo: c chênh 0,1% (D16). Tại cùng Σ n·L²: Adaptive nhỏ hơn ~1,3% (C46, theo mô hình).</t>
  </si>
  <si>
    <t xml:space="preserve">(a) Mới 1 cặp đo, n = 1. (b) Đường Pareto phần lớn là mô hình. (c) "Chất lượng tương đương" chưa đạt: Adaptive +1,33% byte. (d) Memory encode chưa đo.</t>
  </si>
  <si>
    <t xml:space="preserve">Đo thật Fixed-256 và Fixed-128, DP-decode λ=100 cùng phiên. So với nội suy đo được, không dùng nội suy mô hình.</t>
  </si>
  <si>
    <t xml:space="preserve">Rất cao</t>
  </si>
  <si>
    <t xml:space="preserve">Ablation: context size, LoRA/online memorization, thuật toán adaptive; phân tích khi nào hiệu quả hoặc thất bại</t>
  </si>
  <si>
    <t xml:space="preserve">Context: GD3. LoRA: GD5_LoRA_bz2 (−1,99% byte, net âm). Adaptive: GD5_SoSanh A–F. Ablation: GD5_MauBang hàng 26–30 (đã điền).</t>
  </si>
  <si>
    <t xml:space="preserve">LoRA chỉ in-sample trên 1 MB, chưa held-out. Chưa kiểm fingerprint âm. Chưa LoRA trên dữ liệu hỗn hợp.</t>
  </si>
  <si>
    <t xml:space="preserve">(1) LoRA train 0,5 MB, đo trên 0,5 MB khác — mới là generalization. (2) Blob LoRA giải nén bằng base phải bị từ chối. (3) LoRA trên hỗn hợp.</t>
  </si>
  <si>
    <t xml:space="preserve">BỔ SUNG: lặp lại phép đo thời gian (n ≥ 2) để có sai số</t>
  </si>
  <si>
    <t xml:space="preserve">Mỗi cấu hình giải nén 1 lần. Cùng blob 216.534 B: 9.523 / 10.833 / 12.001 s qua các phiên (GD4 G15:G19).</t>
  </si>
  <si>
    <t xml:space="preserve">Chưa có mean ± std thời gian. Chưa có memory encode.</t>
  </si>
  <si>
    <t xml:space="preserve">Lặp decode cặp Fixed-512 + Adaptive λ=1000 một lần thêm (~6,8 giờ GPU), hoặc đo độ ổn định trên lát 100 KB (rẻ hơn nhiều).</t>
  </si>
  <si>
    <t xml:space="preserve">BỔ SUNG: số liệu nhất quán giữa README, Excel và JSON</t>
  </si>
  <si>
    <t xml:space="preserve">Tất cả</t>
  </si>
  <si>
    <t xml:space="preserve">Xem bảng "Mâu thuẫn số liệu" bên dưới.</t>
  </si>
  <si>
    <t xml:space="preserve">4 điểm mâu thuẫn hoặc không so sánh được trực tiếp.</t>
  </si>
  <si>
    <t xml:space="preserve">Sửa theo bảng mâu thuẫn; ghi mã phiên cạnh mọi số thời gian.</t>
  </si>
  <si>
    <t xml:space="preserve">Mâu thuẫn số liệu cần xử lý</t>
  </si>
  <si>
    <t xml:space="preserve">Vấn đề</t>
  </si>
  <si>
    <t xml:space="preserve">Chi tiết</t>
  </si>
  <si>
    <t xml:space="preserve">Ảnh hưởng</t>
  </si>
  <si>
    <t xml:space="preserve">Cách xử lý</t>
  </si>
  <si>
    <t xml:space="preserve">LoRA: net ratio khác nhau giữa README và Excel</t>
  </si>
  <si>
    <t xml:space="preserve">README và stage5_session_C: 0,142 (tính cả thư mục adapter 6.817.985 B). Excel GD5_LoRA_bz2 và GD5_TongHop: 0,289 (chỉ file cần giải nén 3.253.104 B).</t>
  </si>
  <si>
    <t xml:space="preserve">Số khác 2 lần nhưng kết luận như nhau: không có lợi ở 1 MB.</t>
  </si>
  <si>
    <t xml:space="preserve">Báo cả hai với nhãn rõ. Xác nhận lại adapter nào thực sự được nạp để giải nén, rồi chọn một làm chính.</t>
  </si>
  <si>
    <t xml:space="preserve">Decode cùng blob khác giữa các phiên</t>
  </si>
  <si>
    <t xml:space="preserve">Adaptive λ=1000: 9.523 / 10.833 / 12.001 s (chênh 26%). Enc Adaptive: 160 / 174 / 183 / 202 s tùy phiên.</t>
  </si>
  <si>
    <t xml:space="preserve">Số tuyệt đối không so được giữa các bảng.</t>
  </si>
  <si>
    <t xml:space="preserve">Mọi so sánh thời gian chỉ trong cùng phiên. Ghi mã phiên ở mọi bảng.</t>
  </si>
  <si>
    <t xml:space="preserve">Encode Fixed-512 khác 6,5 lần giữa hai pipeline</t>
  </si>
  <si>
    <t xml:space="preserve">GD3 F12 (eval_clean, batch 64): 178,8 s. GD5 Fixed-512 (codec v3): 27,5 s (phiên A) và 25,3 s (phiên D).</t>
  </si>
  <si>
    <t xml:space="preserve">Không thể so "FineZip enc" của GD3 với Adaptive của GD5.</t>
  </si>
  <si>
    <t xml:space="preserve">Trong báo cáo chỉ so codec v3 với codec v3. Ghi rõ GD3 là pipeline khác.</t>
  </si>
  <si>
    <t xml:space="preserve">Adapter: ước tính fp16 và số đo thật</t>
  </si>
  <si>
    <t xml:space="preserve">GD35_LoRA ước tính fp16 1,6 MB. Số đo thật 3.253.104 B khớp fp32 (811.008 × 4 B = 3.244.032 B + header).</t>
  </si>
  <si>
    <t xml:space="preserve">Các ghi chú "1,6–3,2 MB" và bảng hoà vốn ước tính đã lỗi thời.</t>
  </si>
  <si>
    <t xml:space="preserve">Thay toàn bộ ghi chú fp16 bằng số đo thật.</t>
  </si>
  <si>
    <t xml:space="preserve">Nhật ký điền từ phiên D (không sửa công thức cũ)</t>
  </si>
  <si>
    <t xml:space="preserve">GD3_FixedContext!J12:K12 — decode và GPU peak Fixed-512 (phiên D).</t>
  </si>
  <si>
    <t xml:space="preserve">GD4_KetQua!A21:S21 — thêm dòng decode λ=1000 phiên D (ô trống trước đó).</t>
  </si>
  <si>
    <t xml:space="preserve">GD5_MauBang!F11, H11, I11, K11 — Fixed-512 phiên D. F13, H13, K13 — đổi sang phiên D để cặp cùng phiên; số phiên 2 giữ ở GD4 làm tham chiếu.</t>
  </si>
  <si>
    <t xml:space="preserve">GD5_MauBang!A12:K12 — Feature-repeat (enwik8), đổi tên dòng thành "ngưỡng học từ DP".</t>
  </si>
  <si>
    <t xml:space="preserve">GD5_MauBang!C26:E30 — điền bảng ablation từ số đo thật.</t>
  </si>
  <si>
    <t xml:space="preserve">GD5_MauBang!A4:B4, A19:G20, A22 — xoá hàng mẫu MockLM, theo ghi chú trong file ("xoá khi có số thật").</t>
  </si>
  <si>
    <t xml:space="preserve">CanChayLai!C6 — cập nhật tình trạng decode.</t>
  </si>
  <si>
    <t xml:space="preserve">Thêm sheet KiemTra_KeHoach và Phien_D_TongHop.</t>
  </si>
  <si>
    <t xml:space="preserve">Phiên D — Fixed-512 vs Adaptive-DP λ=1000, đo cùng một phiên (Tesla T4, codec v3, enwik8 1 MB)</t>
  </si>
  <si>
    <t xml:space="preserve">Nguồn: stage5_session_D.json. Xanh dương = số đo (đầu vào); đen = công thức. Mọi so sánh thời gian dùng cặp trong cùng phiên.</t>
  </si>
  <si>
    <t xml:space="preserve">Hạng mục</t>
  </si>
  <si>
    <t xml:space="preserve">Fixed-512</t>
  </si>
  <si>
    <t xml:space="preserve">Adaptive-DP λ=1000</t>
  </si>
  <si>
    <t xml:space="preserve">Chênh (Adaptive/Fixed − 1)</t>
  </si>
  <si>
    <t xml:space="preserve">Ghi chú</t>
  </si>
  <si>
    <t xml:space="preserve">Compressed (B)</t>
  </si>
  <si>
    <t xml:space="preserve">Codec v3, không escape, eps=0</t>
  </si>
  <si>
    <t xml:space="preserve">Ratio (gốc/nén)</t>
  </si>
  <si>
    <t xml:space="preserve">Encode (s)</t>
  </si>
  <si>
    <t xml:space="preserve">Adaptive gồm phân tích DP 5 mức (~150 s) + 1 lượt rank</t>
  </si>
  <si>
    <t xml:space="preserve">Decode (s)</t>
  </si>
  <si>
    <t xml:space="preserve">Đo thật, lossless cả hai</t>
  </si>
  <si>
    <t xml:space="preserve">Decode GPU peak (MiB)</t>
  </si>
  <si>
    <t xml:space="preserve">Bằng nhau: bộ nhớ giải nén không khác</t>
  </si>
  <si>
    <t xml:space="preserve">Lossless (quick check + decode đầy đủ)</t>
  </si>
  <si>
    <t xml:space="preserve">True</t>
  </si>
  <si>
    <t xml:space="preserve">Σ n·L² (chi phí giải nén theo mô hình)</t>
  </si>
  <si>
    <t xml:space="preserve">Σ n·L (token đã đệm)</t>
  </si>
  <si>
    <t xml:space="preserve">L̄ = Σ n·L² / Σ n·L</t>
  </si>
  <si>
    <t xml:space="preserve">Kiểm tra mô hình chi phí: decode ∝ Σ n·L² (trong cùng phiên)</t>
  </si>
  <si>
    <t xml:space="preserve">c = decode / Σ n·L² (×1e-5 s)</t>
  </si>
  <si>
    <t xml:space="preserve">Hai cấu hình có c gần như bằng nhau → mô hình chi phí đúng trong phiên này</t>
  </si>
  <si>
    <t xml:space="preserve">Giảm decode dự đoán từ Σ n·L²</t>
  </si>
  <si>
    <t xml:space="preserve">Giảm decode đo thật</t>
  </si>
  <si>
    <t xml:space="preserve">Sai lệch dự đoán − đo (điểm %)</t>
  </si>
  <si>
    <t xml:space="preserve">Chi phí tổng (1 lần encode + 1 lần decode)</t>
  </si>
  <si>
    <t xml:space="preserve">Encode + decode (s)</t>
  </si>
  <si>
    <t xml:space="preserve">Encode thêm của Adaptive (s)</t>
  </si>
  <si>
    <t xml:space="preserve">Decode tiết kiệm mỗi lần (s)</t>
  </si>
  <si>
    <t xml:space="preserve">Số lần decode để bù encode thêm</t>
  </si>
  <si>
    <t xml:space="preserve">&lt; 1: một lần giải nén đã bù chi phí phân tích DP</t>
  </si>
  <si>
    <t xml:space="preserve">Đường Pareto theo mô hình Σ n·L² — ĐÃ ĐO: Fixed-512 &amp; DP λ=1000; còn lại là DỰ ĐOÁN</t>
  </si>
  <si>
    <t xml:space="preserve">Cấu hình</t>
  </si>
  <si>
    <t xml:space="preserve">Σ n·L²</t>
  </si>
  <si>
    <t xml:space="preserve">Ưu tiên đo</t>
  </si>
  <si>
    <t xml:space="preserve">Fixed-32</t>
  </si>
  <si>
    <t xml:space="preserve">CHƯA ĐO</t>
  </si>
  <si>
    <t xml:space="preserve">Dec dự đoán = c × Σ n·L²</t>
  </si>
  <si>
    <t xml:space="preserve">Fixed-64</t>
  </si>
  <si>
    <t xml:space="preserve">Fixed-128</t>
  </si>
  <si>
    <t xml:space="preserve">Điểm so sánh quyết định Pareto</t>
  </si>
  <si>
    <t xml:space="preserve">Fixed-256</t>
  </si>
  <si>
    <t xml:space="preserve">Fixed-512 (đo phiên D)</t>
  </si>
  <si>
    <t xml:space="preserve">ĐÃ ĐO</t>
  </si>
  <si>
    <t xml:space="preserve">Adaptive DP-decode λ=100</t>
  </si>
  <si>
    <t xml:space="preserve">Cùng vùng Σ với Fixed-64/128</t>
  </si>
  <si>
    <t xml:space="preserve">Adaptive DP-decode λ=300</t>
  </si>
  <si>
    <t xml:space="preserve">Adaptive DP-bits λ=1000 (đo phiên D)</t>
  </si>
  <si>
    <t xml:space="preserve">Adaptive DP-bits λ=12000</t>
  </si>
  <si>
    <t xml:space="preserve">Adaptive DP-bits λ=40000</t>
  </si>
  <si>
    <t xml:space="preserve">Tổng decode dự đoán của các cấu hình CHƯA ĐO (s)</t>
  </si>
  <si>
    <t xml:space="preserve">  trong đó ưu tiên Cao (s)</t>
  </si>
  <si>
    <t xml:space="preserve">Khoảng 3,5 giờ GPU để kiểm tra claim Pareto</t>
  </si>
  <si>
    <t xml:space="preserve">So sánh cùng Σ n·L² (mô hình): Adaptive λ=1000 vs Fixed nội suy giữa 256 và 512</t>
  </si>
  <si>
    <t xml:space="preserve">Fixed nội suy tuyến tính tại Σ của Adaptive (bytes)</t>
  </si>
  <si>
    <t xml:space="preserve">Adaptive DP λ=1000 (bytes)</t>
  </si>
  <si>
    <t xml:space="preserve">Δ% (âm = Adaptive nhỏ hơn ở cùng chi phí giải nén)</t>
  </si>
  <si>
    <t xml:space="preserve">Đọc: đây là so sánh theo MÔ HÌNH (nội suy Fixed-256/512 chưa đo decode). Chỉ kết luận được Pareto sau khi đo thật Fixed-128/256 và DP λ=100.</t>
  </si>
  <si>
    <t xml:space="preserve">FineZip — bảng số liệu đã sửa &amp; danh sách lỗi</t>
  </si>
  <si>
    <t xml:space="preserve">Mọi con số gốc lấy từ FineZipExperiment.xlsx và 5 notebook đã tải lên; công thức tính lại nằm ở các sheet GD*.</t>
  </si>
  <si>
    <t xml:space="preserve">Có bắt buộc chạy lại không?</t>
  </si>
  <si>
    <t xml:space="preserve">KHÔNG để sửa bảng: các lỗi 1–6 chỉ là tính toán/trình bày lại từ số đã có. Cần bổ sung (không bắt buộc cho phần sửa): đo kích thước adapter (không cần GPU), thời gian giải nén + GPU peak của FineZip (vài chục phút, đề bài có yêu cầu). Chi tiết ở sheet CanChayLai.</t>
  </si>
  <si>
    <t xml:space="preserve">Vấn đề trong bản gốc</t>
  </si>
  <si>
    <t xml:space="preserve">Bản gốc ghi</t>
  </si>
  <si>
    <t xml:space="preserve">Sau khi sửa</t>
  </si>
  <si>
    <t xml:space="preserve">Chạy lại?</t>
  </si>
  <si>
    <t xml:space="preserve">Cột 'Compressed size ≈ B' của LLMZip-lite sai ở ctx 32–256 (chia bit cho 10 thay vì 8)</t>
  </si>
  <si>
    <t xml:space="preserve">149,487 / 134,948 / 125,485 / 116,416 B</t>
  </si>
  <si>
    <t xml:space="preserve">≈ 186,860 / 168,685 / 156,856 / 145,521 B (GD3_FixedContext, mục B). Cột ratio trước đây đã đúng.</t>
  </si>
  <si>
    <t xml:space="preserve">Không</t>
  </si>
  <si>
    <t xml:space="preserve">Hai quy ước 'ratio' trộn lẫn (gốc/nén và nén/gốc)</t>
  </si>
  <si>
    <t xml:space="preserve">0.18686 cạnh 5.352×</t>
  </si>
  <si>
    <t xml:space="preserve">Chuẩn hoá: Ratio = gốc/nén (×); Compressed % = nén/gốc (cùng quy ước paper).</t>
  </si>
  <si>
    <t xml:space="preserve">Bảng LoRA so sánh sai cặp (khác pipeline)</t>
  </si>
  <si>
    <t xml:space="preserve">GPT-2 128: 4.154× vs LoRA 6.657×</t>
  </si>
  <si>
    <t xml:space="preserve">Cùng AC: 6.375× → 6.657× (ctx128), 7.028× → 7.363× (ctx512): giảm kích thước 4.2% / 4.6% (GD35_LoRA, mục 1).</t>
  </si>
  <si>
    <t xml:space="preserve">Chưa tính kích thước adapter vào file nén</t>
  </si>
  <si>
    <t xml:space="preserve">3,253,104 bytes (≈3.10 MiB)</t>
  </si>
  <si>
    <t xml:space="preserve">Adapter 811.008 tham số ≈ 1.6 MB (fp16) – 3.2 MB (fp32) ≫ file nén 136 KB → ở 1 MB LoRA không có lợi ròng; điểm hoà vốn ≳ 250 MB (GD35_LoRA, mục 2).</t>
  </si>
  <si>
    <t xml:space="preserve">Chỉ cần đo adapter thật (ls) done</t>
  </si>
  <si>
    <t xml:space="preserve">Thời gian so sánh khác batch (LLMZip-lite &amp; FineZip ctx32 batch 1; FineZip GĐ3 batch 64)</t>
  </si>
  <si>
    <t xml:space="preserve">FineZip ctx32: 2740 s (GĐ2) vs 61.6 s (GĐ3)</t>
  </si>
  <si>
    <t xml:space="preserve">Thêm cột Batch; hệ số 45× chỉ do batch (GD2_Baseline!B19). Không kết luận 'FineZip nhanh hơn LLMZip-lite N lần'.</t>
  </si>
  <si>
    <t xml:space="preserve">Không (tuỳ chọn: cùng batch)</t>
  </si>
  <si>
    <t xml:space="preserve">Hai lần đo thời gian enc FineZip khác nhau</t>
  </si>
  <si>
    <t xml:space="preserve">61.6 / 67.2 / 83.0 / 114.3 / 178.8 vs 60.8 / 69.1 / 88.8 / 124.8 / 199.0</t>
  </si>
  <si>
    <t xml:space="preserve">Giữ cả hai, dùng số từ file .txt, hiển thị độ lệch 3–11%.</t>
  </si>
  <si>
    <t xml:space="preserve">Tuỳ chọn</t>
  </si>
  <si>
    <t xml:space="preserve">Mô tả pipeline sai ('FineZip của nhóm = context cố định + arithmetic coding')</t>
  </si>
  <si>
    <t xml:space="preserve">Sheet 'Đánh giá từng giai đoạn'</t>
  </si>
  <si>
    <t xml:space="preserve">eval_clean.py (FineZip) = rank + bzip2, chunk, batch. eval_ac.py ('LLMZip-lite') = AC + cửa sổ trượt. 'Context' hai bên khác nghĩa.</t>
  </si>
  <si>
    <t xml:space="preserve">'Training time/memory của LoRA chưa có'</t>
  </si>
  <si>
    <t xml:space="preserve">⚠ chưa có</t>
  </si>
  <si>
    <t xml:space="preserve">Đã có trong notebook: 48.6 s, peak 2,749 MiB allocated / 3,024 MiB reserved (GD35_LoRA, mục 4).</t>
  </si>
  <si>
    <t xml:space="preserve">Thiếu thời gian giải nén &amp; GPU peak theo từng ctx (FineZip)</t>
  </si>
  <si>
    <t xml:space="preserve">Để trống / '...'</t>
  </si>
  <si>
    <t xml:space="preserve">Đánh dấu vàng 'CHƯA ĐO'. LLMZip-lite: dec ctx 32 đã đo, còn lại ghi ước tính ≈ enc.</t>
  </si>
  <si>
    <t xml:space="preserve">Nên (FineZip)</t>
  </si>
  <si>
    <t xml:space="preserve">Hai số GPU memory mâu thuẫn</t>
  </si>
  <si>
    <t xml:space="preserve">991 vs 1962 MiB</t>
  </si>
  <si>
    <t xml:space="preserve">Khác phạm vi đo (file 1 MB lúc nén vs test 315 B ở GĐ1); ghi chú, chưa kết luận.</t>
  </si>
  <si>
    <t xml:space="preserve">Nên đo lại cùng điều kiện</t>
  </si>
  <si>
    <t xml:space="preserve">Giai đoạn 2 — Baseline trên 1 MB enwik8 (đã sửa)</t>
  </si>
  <si>
    <t xml:space="preserve">Chữ xanh = số lấy từ notebook/Excel cũ (input) · đen = công thức · xanh lá = liên kết sheet khác · vàng đỏ = chưa đo</t>
  </si>
  <si>
    <t xml:space="preserve">Original (bytes)</t>
  </si>
  <si>
    <t xml:space="preserve">Ký tự (chars, UTF-8 giải mã)</t>
  </si>
  <si>
    <t xml:space="preserve">Token GPT-2</t>
  </si>
  <si>
    <t xml:space="preserve">Method</t>
  </si>
  <si>
    <t xml:space="preserve">Model</t>
  </si>
  <si>
    <t xml:space="preserve">Pipeline</t>
  </si>
  <si>
    <t xml:space="preserve">Context</t>
  </si>
  <si>
    <t xml:space="preserve">Batch</t>
  </si>
  <si>
    <t xml:space="preserve">AC bits (nếu có)</t>
  </si>
  <si>
    <t xml:space="preserve">Compressed % (nén/gốc)</t>
  </si>
  <si>
    <t xml:space="preserve">Bits/char</t>
  </si>
  <si>
    <t xml:space="preserve">Enc (s)</t>
  </si>
  <si>
    <t xml:space="preserve">Dec (s)</t>
  </si>
  <si>
    <t xml:space="preserve">GPU peak (MiB)</t>
  </si>
  <si>
    <t xml:space="preserve">Lossless</t>
  </si>
  <si>
    <t xml:space="preserve">Tiết kiệm so với bzip2</t>
  </si>
  <si>
    <t xml:space="preserve">gzip</t>
  </si>
  <si>
    <t xml:space="preserve">-</t>
  </si>
  <si>
    <t xml:space="preserve">DEFLATE</t>
  </si>
  <si>
    <t xml:space="preserve">✓</t>
  </si>
  <si>
    <t xml:space="preserve">bzip2</t>
  </si>
  <si>
    <t xml:space="preserve">BWT</t>
  </si>
  <si>
    <t xml:space="preserve">LLMZip-lite</t>
  </si>
  <si>
    <t xml:space="preserve">GPT-2</t>
  </si>
  <si>
    <t xml:space="preserve">AC + cửa sổ trượt (eval_ac.py)</t>
  </si>
  <si>
    <t xml:space="preserve">Lần chạy GĐ3 đo lại enc = 2938.72 s. Bytes = ROUNDUP(bits/8).</t>
  </si>
  <si>
    <t xml:space="preserve">FineZip</t>
  </si>
  <si>
    <t xml:space="preserve">rank + bzip2, chunk (eval_clean.py)</t>
  </si>
  <si>
    <t xml:space="preserve">batch 1</t>
  </si>
  <si>
    <t xml:space="preserve">batch 64 (số của GĐ3). Enc lấy từ dòng cuối file .txt.</t>
  </si>
  <si>
    <t xml:space="preserve">Hệ số suy ra từ bảng trên</t>
  </si>
  <si>
    <t xml:space="preserve">LLMZip-lite so với gzip (×)</t>
  </si>
  <si>
    <t xml:space="preserve">LLMZip-lite so với bzip2 (×)</t>
  </si>
  <si>
    <t xml:space="preserve">FineZip (bs=1) so với bzip2 (×)</t>
  </si>
  <si>
    <t xml:space="preserve">Tăng tốc do batch: FineZip ctx32, bs 1 → bs 64 (×)</t>
  </si>
  <si>
    <t xml:space="preserve">Chênh kích thước FineZip bs1 − bs64 (B)</t>
  </si>
  <si>
    <t xml:space="preserve">⚠ Thời gian giữa các dòng KHÔNG so được thẳng: LLMZip-lite &amp; FineZip(bs=1) chạy tuần tự (batch 1); FineZip(bs=64) chạy song song. Phần lớn chênh lệch tốc độ đến từ batch (ô B19), không phải từ thuật toán.</t>
  </si>
  <si>
    <t xml:space="preserve">⚠ 'Context 32' ở hai pipeline khác nghĩa: LLMZip-lite = mọi token thấy 32 token trước (cửa sổ trượt); FineZip = chunk dài 32, token thứ i chỉ thấy i−1 token trong chunk.</t>
  </si>
  <si>
    <t xml:space="preserve">⚠ GPU peak: 993–996 MiB (GĐ2) khác 1962 MiB (GĐ1, file test 315 B). Hai lần đo khác phạm vi → chưa kết luận; cần reset_peak_memory_stats() ngay trước mỗi lần nén.</t>
  </si>
  <si>
    <t xml:space="preserve">Giai đoạn 3 — Fixed Context 32…512 (đã sửa)</t>
  </si>
  <si>
    <t xml:space="preserve">Cùng 1 MB enwik8, GPT-2, Kaggle T4</t>
  </si>
  <si>
    <t xml:space="preserve">Original (B)</t>
  </si>
  <si>
    <t xml:space="preserve">Chars</t>
  </si>
  <si>
    <t xml:space="preserve">A. FineZip (rank + bzip2, chunk, batch 64)</t>
  </si>
  <si>
    <t xml:space="preserve">Context (độ dài chunk)</t>
  </si>
  <si>
    <t xml:space="preserve">Compressed %</t>
  </si>
  <si>
    <t xml:space="preserve">Δ ratio so với ctx 32</t>
  </si>
  <si>
    <t xml:space="preserve">Enc (s) — từ file .txt</t>
  </si>
  <si>
    <t xml:space="preserve">Thời gian ×  so với ctx 32</t>
  </si>
  <si>
    <t xml:space="preserve">Enc (s) — bảng thô Excel cũ</t>
  </si>
  <si>
    <t xml:space="preserve">Lệch giữa 2 lần đo</t>
  </si>
  <si>
    <t xml:space="preserve">Bit tiết kiệm / giây thêm (so mức trước)</t>
  </si>
  <si>
    <t xml:space="preserve">Cột L = số bit tiết kiệm được cho mỗi giây tính thêm khi tăng context lên mức này. Đây chính là thang đo cho tham số λ của DPPolicy (adaptive_context_finezip.py): λ &gt; giá trị ở hàng nào thì chính sách sẽ KHÔNG chọn lên mức đó.</t>
  </si>
  <si>
    <t xml:space="preserve">Hai lần đo thời gian (cột F và H) khác nhau 3–11%: chưa rõ nguyên nhân (khác phiên Kaggle / cách đo). Báo cáo dùng cột F (truy được tới notebook), ghi rõ sai số.</t>
  </si>
  <si>
    <t xml:space="preserve">B. LLMZip-lite (arithmetic coding, cửa sổ trượt, batch 1)</t>
  </si>
  <si>
    <t xml:space="preserve">Context (cửa sổ trượt)</t>
  </si>
  <si>
    <t xml:space="preserve">AC bits</t>
  </si>
  <si>
    <t xml:space="preserve">Compressed (B) = ROUNDUP(bits/8)</t>
  </si>
  <si>
    <t xml:space="preserve">Thời gian × so với ctx 32</t>
  </si>
  <si>
    <t xml:space="preserve">Bit tiết kiệm / giây thêm</t>
  </si>
  <si>
    <t xml:space="preserve">Dec ctx 32 = số đo ở GĐ2 (2851 s ≈ 0.97 × enc). Các ctx còn lại chưa đo; có thể ghi 'ước tính ≈ enc' (dec/enc = 0.97–1.01 ở các lần đo GĐ2) thay vì chạy lại ~4 giờ cho ctx 512.</t>
  </si>
  <si>
    <t xml:space="preserve">C. Đặt cạnh nhau (tham khảo — KHÔNG phải cuộc thi trực tiếp, xem ghi chú)</t>
  </si>
  <si>
    <t xml:space="preserve">Ratio FineZip</t>
  </si>
  <si>
    <t xml:space="preserve">Ratio LLMZip-lite</t>
  </si>
  <si>
    <t xml:space="preserve">LLMZip-lite / FineZip (ratio)</t>
  </si>
  <si>
    <t xml:space="preserve">Enc FineZip (s)</t>
  </si>
  <si>
    <t xml:space="preserve">Enc LLMZip-lite (s)</t>
  </si>
  <si>
    <t xml:space="preserve">LLMZip-lite / FineZip (thời gian)</t>
  </si>
  <si>
    <t xml:space="preserve">Không kết luận 'FineZip kém LLMZip-lite' hay 'nhanh hơn N lần' từ bảng này: khác lược đồ mã hoá (rank+bzip2 vs AC), khác ngữ nghĩa context, khác batch (64 vs 1). Muốn so công bằng cần cùng batch và cùng pipeline mã hoá.</t>
  </si>
  <si>
    <t xml:space="preserve">Giai đoạn 3.5 — LoRA / online memorization (đã sửa)</t>
  </si>
  <si>
    <t xml:space="preserve">So sánh đúng cặp: CÙNG pipeline arithmetic coding, cùng cửa sổ trượt, chỉ khác có/không LoRA</t>
  </si>
  <si>
    <t xml:space="preserve">Số tham số LoRA (notebook: trainable params)</t>
  </si>
  <si>
    <t xml:space="preserve">Byte / tham số (fp16)</t>
  </si>
  <si>
    <t xml:space="preserve">Byte / tham số (fp32)</t>
  </si>
  <si>
    <t xml:space="preserve">Kích thước adapter ĐO THẬT (B) — điền sau khi chạy ls -l</t>
  </si>
  <si>
    <t xml:space="preserve">Adapter dùng để tính (đo thật nếu có, nếu không = fp16 ước tính)</t>
  </si>
  <si>
    <t xml:space="preserve">Adapter fp32 ước tính (B)</t>
  </si>
  <si>
    <t xml:space="preserve">1. LoRA vs không LoRA — cùng pipeline AC</t>
  </si>
  <si>
    <t xml:space="preserve">AC bits (không LoRA)</t>
  </si>
  <si>
    <t xml:space="preserve">AC bits (LoRA)</t>
  </si>
  <si>
    <t xml:space="preserve">Bytes (không LoRA)</t>
  </si>
  <si>
    <t xml:space="preserve">Bytes (LoRA)</t>
  </si>
  <si>
    <t xml:space="preserve">Ratio (không LoRA)</t>
  </si>
  <si>
    <t xml:space="preserve">Ratio (LoRA)</t>
  </si>
  <si>
    <t xml:space="preserve">Giảm kích thước nhờ LoRA</t>
  </si>
  <si>
    <t xml:space="preserve">Bits/char (không LoRA)</t>
  </si>
  <si>
    <t xml:space="preserve">Bits/char (LoRA)</t>
  </si>
  <si>
    <t xml:space="preserve">Enc (s) không LoRA</t>
  </si>
  <si>
    <t xml:space="preserve">Enc (s) LoRA</t>
  </si>
  <si>
    <t xml:space="preserve">Thời gian tăng</t>
  </si>
  <si>
    <t xml:space="preserve">Bảng gốc đặt FineZip-rank 4.154× cạnh LoRA-AC 6.657× (khác pipeline) nên trông như LoRA cải thiện ~60%. Đúng cặp: LoRA chỉ giảm kích thước khoảng 4–5% (cột H).</t>
  </si>
  <si>
    <t xml:space="preserve">LoRA chạy chậm hơn (cột M) vì adapter chưa merge: có thể thử model.merge_and_unload() trước khi nén để bỏ chi phí suy luận thêm. Hai lần đo có thể khác phiên Kaggle → coi là xu hướng.</t>
  </si>
  <si>
    <t xml:space="preserve">2. Tính cả chi phí lưu adapter (phải gửi kèm file nén để giải nén được)</t>
  </si>
  <si>
    <t xml:space="preserve">File nén LoRA (B)</t>
  </si>
  <si>
    <t xml:space="preserve">+ adapter (B)</t>
  </si>
  <si>
    <t xml:space="preserve">Ratio ròng (gốc / (nén + adapter))</t>
  </si>
  <si>
    <t xml:space="preserve">bzip2 (B)</t>
  </si>
  <si>
    <t xml:space="preserve">Ròng so với bzip2</t>
  </si>
  <si>
    <t xml:space="preserve">Tiết kiệm / 1 MB dữ liệu so với không LoRA (B)</t>
  </si>
  <si>
    <t xml:space="preserve">Điểm hoà vốn: dữ liệu gốc cần ≥ (MB)</t>
  </si>
  <si>
    <t xml:space="preserve">Giả định (nên ghi trong báo cáo): adapter có kích thước cố định; mức tiết kiệm tăng tuyến tính theo dung lượng dữ liệu. Thực tế adapter cố định 'nhớ' được ít hơn trên dữ liệu lớn → điểm hoà vốn thật có thể XA hơn con số này. Ở 1 MB, LoRA không có lợi ròng.</t>
  </si>
  <si>
    <t xml:space="preserve">3. Loss / perplexity (hai phép đo khác tập, KHÔNG so với nhau)</t>
  </si>
  <si>
    <t xml:space="preserve">Phép đo</t>
  </si>
  <si>
    <t xml:space="preserve">Tập đánh giá</t>
  </si>
  <si>
    <t xml:space="preserve">Loss trước</t>
  </si>
  <si>
    <t xml:space="preserve">Loss sau</t>
  </si>
  <si>
    <t xml:space="preserve">Δ loss</t>
  </si>
  <si>
    <t xml:space="preserve">PPL trước</t>
  </si>
  <si>
    <t xml:space="preserve">PPL sau</t>
  </si>
  <si>
    <t xml:space="preserve">Δ PPL</t>
  </si>
  <si>
    <t xml:space="preserve">Trong script huấn luyện</t>
  </si>
  <si>
    <t xml:space="preserve">559 khối × 512 = 286.208 token (chính là dữ liệu huấn luyện)</t>
  </si>
  <si>
    <t xml:space="preserve">In-sample → đúng ý 'memorization'.</t>
  </si>
  <si>
    <t xml:space="preserve">Đánh giá nhanh (ctx 512)</t>
  </si>
  <si>
    <t xml:space="preserve">16.352 token đầu của file</t>
  </si>
  <si>
    <t xml:space="preserve">Một lát nhỏ; không phải toàn bộ 286.273 token.</t>
  </si>
  <si>
    <t xml:space="preserve">4. Cấu hình &amp; chi phí huấn luyện LoRA (ĐÃ CÓ trong notebook versionn3_5_1, ô 115 — Excel cũ ghi 'chưa có')</t>
  </si>
  <si>
    <t xml:space="preserve">Mô hình / target</t>
  </si>
  <si>
    <t xml:space="preserve">GPT-2 · c_attn, c_proj</t>
  </si>
  <si>
    <t xml:space="preserve">r / alpha / dropout</t>
  </si>
  <si>
    <t xml:space="preserve">8 / 16 / 0.05</t>
  </si>
  <si>
    <t xml:space="preserve">Epoch · batch · grad accum · lr</t>
  </si>
  <si>
    <t xml:space="preserve">1 · 2 · 4 · 2e-4</t>
  </si>
  <si>
    <t xml:space="preserve">Thời gian huấn luyện (s)</t>
  </si>
  <si>
    <t xml:space="preserve">Peak GPU allocated (MiB)</t>
  </si>
  <si>
    <t xml:space="preserve">Peak GPU reserved (MiB)</t>
  </si>
  <si>
    <t xml:space="preserve">Tham số huấn luyện / tổng</t>
  </si>
  <si>
    <t xml:space="preserve">811,008 / 125,250,816 (0.6475%)</t>
  </si>
  <si>
    <t xml:space="preserve">Ngắn gọn: KHÔNG cần chạy lại để sửa các bảng. Chỉ có vài việc bổ sung nhỏ (cột 'Mức độ').</t>
  </si>
  <si>
    <t xml:space="preserve">Việc</t>
  </si>
  <si>
    <t xml:space="preserve">Mức độ</t>
  </si>
  <si>
    <t xml:space="preserve">Vì sao</t>
  </si>
  <si>
    <t xml:space="preserve">Chi phí ước tính</t>
  </si>
  <si>
    <t xml:space="preserve">Cách làm</t>
  </si>
  <si>
    <t xml:space="preserve">Sửa bytes/ratio LLMZip-lite, chuẩn hoá ratio, cặp so sánh LoRA, cộng adapter</t>
  </si>
  <si>
    <t xml:space="preserve">Không cần chạy lại</t>
  </si>
  <si>
    <t xml:space="preserve">Chỉ là tính lại từ số đã có (đã làm trong file này).</t>
  </si>
  <si>
    <t xml:space="preserve">0</t>
  </si>
  <si>
    <t xml:space="preserve">Đo kích thước adapter thật</t>
  </si>
  <si>
    <t xml:space="preserve">ĐÃ XONG — adapter = 3,253,104 B (điền ở GD35_LoRA!B8)</t>
  </si>
  <si>
    <t xml:space="preserve">Hiện chỉ ước tính 1.6–3.2 MB. Số thật làm bảng 'hoà vốn' chính xác.</t>
  </si>
  <si>
    <t xml:space="preserve">&lt; 1 phút</t>
  </si>
  <si>
    <t xml:space="preserve">!ls -l /kaggle/working/finezip_experiment/lora_gpt2_1mb  → điền vào GD35_LoRA!B8</t>
  </si>
  <si>
    <t xml:space="preserve">FineZip: thời gian GIẢI NÉN và GPU peak cho 5 context (bs 64)</t>
  </si>
  <si>
    <t xml:space="preserve">MỘT PHẦN: đã có cặp cùng phiên D (Fixed-512 và Adaptive λ=1000: dec 13.517 s / 10.833 s, GPU 768,5 MiB). Còn thiếu Fixed-32…256 và DP λ khác.</t>
  </si>
  <si>
    <t xml:space="preserve">Đang thiếu; decode tự hồi quy có thể nặng hơn encode, và DPPolicy cần mô hình thời gian đúng.</t>
  </si>
  <si>
    <t xml:space="preserve">Chưa biết chính xác (chưa từng đo decode ở bs 64); ước tính vài chục phút</t>
  </si>
  <si>
    <t xml:space="preserve">Gọi unzip/decompress có bọc time.perf_counter(); reset_peak_memory_stats() trước mỗi lần. Gộp luôn việc chốt lại thời gian enc (dòng dưới).</t>
  </si>
  <si>
    <t xml:space="preserve">Chốt lại thời gian enc FineZip (2 lần đo lệch 3–11%)</t>
  </si>
  <si>
    <t xml:space="preserve">Không đổi kết luận; có thể chỉ ghi sai số.</t>
  </si>
  <si>
    <t xml:space="preserve">~10 phút nếu gộp với việc trên</t>
  </si>
  <si>
    <t xml:space="preserve">Chạy lại 5 ctx 1 lần, lấy trung bình.</t>
  </si>
  <si>
    <t xml:space="preserve">LLMZip-lite: dec time cho ctx 64–512</t>
  </si>
  <si>
    <t xml:space="preserve">Không nên chạy</t>
  </si>
  <si>
    <t xml:space="preserve">Chạy ctx 512 mất ~4 giờ; dec ≈ enc ở các lần đo (0.97–1.01).</t>
  </si>
  <si>
    <t xml:space="preserve">~8 giờ</t>
  </si>
  <si>
    <t xml:space="preserve">Ghi 'ước tính ≈ enc', nói rõ chỉ đo thật ở ctx 32.</t>
  </si>
  <si>
    <t xml:space="preserve">So sánh thời gian công bằng cùng batch</t>
  </si>
  <si>
    <t xml:space="preserve">Tuỳ chọn, nên có</t>
  </si>
  <si>
    <t xml:space="preserve">Hiện batch 1 vs 64 làm chênh ~45× chỉ do batch.</t>
  </si>
  <si>
    <t xml:space="preserve">vài phút/ctx</t>
  </si>
  <si>
    <t xml:space="preserve">eval_ac.py --batch_size 64 (nếu hỗ trợ như README mô tả); ghi rõ kích thước file có thể tăng nhẹ do nhiều luồng AC.</t>
  </si>
  <si>
    <t xml:space="preserve">LoRA cho pipeline FineZip thật (rank + bzip2)</t>
  </si>
  <si>
    <t xml:space="preserve">Nên làm</t>
  </si>
  <si>
    <t xml:space="preserve">Hiện LoRA mới chạy với AC; 'FineZip' trong paper là rank+bzip2+LoRA.</t>
  </si>
  <si>
    <t xml:space="preserve">Repo có nhánh finetuned_models trong memory_eval(); nạp PeftModel rồi chạy ctx 128/512.</t>
  </si>
  <si>
    <t xml:space="preserve">Dữ liệu thứ hai / lát khác của enwik8</t>
  </si>
  <si>
    <t xml:space="preserve">Bắt buộc cho GĐ5</t>
  </si>
  <si>
    <t xml:space="preserve">Adaptive chỉ có ý nghĩa khi văn bản không đồng nhất; 1 lát 1 MB chưa đủ kết luận.</t>
  </si>
  <si>
    <t xml:space="preserve">Ghép wiki + code + bảng số, hoặc lát 5–10 MB.</t>
  </si>
  <si>
    <t xml:space="preserve">GĐ4–5: Adaptive Context, Fixed vs Adaptive, ablation</t>
  </si>
  <si>
    <t xml:space="preserve">GĐ4 XONG (λ=1000 lossless đầy đủ). GĐ5 chưa làm</t>
  </si>
  <si>
    <t xml:space="preserve">Đây là đóng góp riêng.</t>
  </si>
  <si>
    <t xml:space="preserve">Prototype trên Kaggle, bản cuối trên 4090</t>
  </si>
  <si>
    <t xml:space="preserve">Xem adaptive_context_finezip.py và sheet GD5_MauBang.</t>
  </si>
  <si>
    <t xml:space="preserve">Giai đoạn 4 — Adaptive Context (DP trên cây chunk) · 1 MB enwik8 · GPT-2 · Kaggle T4</t>
  </si>
  <si>
    <t xml:space="preserve">Nguồn: adaptive_results_v3_final.json và các lần chạy trước. Xanh dương = số đo; đen = công thức; xanh lá = liên kết sheet.</t>
  </si>
  <si>
    <t xml:space="preserve">Token (GPT-2)</t>
  </si>
  <si>
    <t xml:space="preserve">L →</t>
  </si>
  <si>
    <t xml:space="preserve">A. Kết quả cuối (codec v3, không escape, batch plan lưu trong header)</t>
  </si>
  <si>
    <t xml:space="preserve">Codec</t>
  </si>
  <si>
    <t xml:space="preserve">Header (B)</t>
  </si>
  <si>
    <t xml:space="preserve">Enc tổng (s)</t>
  </si>
  <si>
    <t xml:space="preserve">GPU peak dec (MiB)</t>
  </si>
  <si>
    <t xml:space="preserve">Kiểm tra lossless</t>
  </si>
  <si>
    <t xml:space="preserve">n32</t>
  </si>
  <si>
    <t xml:space="preserve">n64</t>
  </si>
  <si>
    <t xml:space="preserve">n128</t>
  </si>
  <si>
    <t xml:space="preserve">n256</t>
  </si>
  <si>
    <t xml:space="preserve">n512</t>
  </si>
  <si>
    <t xml:space="preserve">L̄ theo token</t>
  </si>
  <si>
    <t xml:space="preserve">Dec ước tính — thấp (s)</t>
  </si>
  <si>
    <t xml:space="preserve">Dec ước tính — cao (s)</t>
  </si>
  <si>
    <t xml:space="preserve">λ=1000</t>
  </si>
  <si>
    <t xml:space="preserve">v3</t>
  </si>
  <si>
    <t xml:space="preserve">ĐÚNG ✓ (decode đầy đủ)</t>
  </si>
  <si>
    <t xml:space="preserve">Cấu hình cuối của GĐ4.</t>
  </si>
  <si>
    <t xml:space="preserve">λ=5000</t>
  </si>
  <si>
    <t xml:space="preserve">quick_check OK (3 nhóm/mức L)</t>
  </si>
  <si>
    <t xml:space="preserve">Bản v1 cùng layout đã giải nén đúng đầy đủ (4.605,5 s).</t>
  </si>
  <si>
    <t xml:space="preserve">λ=12000</t>
  </si>
  <si>
    <t xml:space="preserve">λ=40000</t>
  </si>
  <si>
    <t xml:space="preserve">Enc tổng = chấm điểm 5 mức L cho DP + 1 lượt tính rank (đo bằng perf_counter). Gần như hằng theo λ nên KHÔNG dùng để so tốc độ với Fixed; cần tách 'phân tích' và 'mã hoá'. Cột Q–R (xám nghiêng) chỉ là ước tính thô theo mô hình c·Σn·L² với c lấy từ khoảng min–max của các lần giải nén đúng ở mục B.</t>
  </si>
  <si>
    <t xml:space="preserve">B. Nhật ký MỌI lần giải nén đầy đủ</t>
  </si>
  <si>
    <t xml:space="preserve">Run</t>
  </si>
  <si>
    <t xml:space="preserve">Kết quả</t>
  </si>
  <si>
    <t xml:space="preserve">Dec / Σn·L² (×1e-5 s)</t>
  </si>
  <si>
    <t xml:space="preserve">v1 (không escape)</t>
  </si>
  <si>
    <t xml:space="preserve">SAI ✗</t>
  </si>
  <si>
    <t xml:space="preserve">Rank lệch theo nhóm batch; blob không hợp lệ.</t>
  </si>
  <si>
    <t xml:space="preserve">v2 + escape, eps=0.20</t>
  </si>
  <si>
    <t xml:space="preserve">ĐÚNG ✓</t>
  </si>
  <si>
    <t xml:space="preserve">44,2% token bị escape (+27% kích thước).</t>
  </si>
  <si>
    <t xml:space="preserve">v2 + escape, eps=0.152</t>
  </si>
  <si>
    <t xml:space="preserve">41,6% escape.</t>
  </si>
  <si>
    <t xml:space="preserve">v3, phiên Kaggle 1</t>
  </si>
  <si>
    <t xml:space="preserve">Cùng kích thước blob 216.534 B.</t>
  </si>
  <si>
    <t xml:space="preserve">v3, phiên Kaggle 2 (cuối)</t>
  </si>
  <si>
    <t xml:space="preserve">Chậm hơn 26% cùng blob; nguyên nhân CHƯA xác định (nghi GPU/phiên khác).</t>
  </si>
  <si>
    <t xml:space="preserve">v3, phiên D (cùng phiên với Fixed-512)</t>
  </si>
  <si>
    <t xml:space="preserve">ĐÚNG ✓ (lossless)</t>
  </si>
  <si>
    <t xml:space="preserve">Cùng blob 216.534 B. Dòng duy nhất có cặp Fixed-512 đo cùng phiên (Phien_D_TongHop).</t>
  </si>
  <si>
    <t xml:space="preserve">Biến động dec λ=1000 giữa hai phiên v3</t>
  </si>
  <si>
    <t xml:space="preserve">Biến động GPU peak giữa hai phiên v3 (MiB)</t>
  </si>
  <si>
    <t xml:space="preserve">Lần đầu mình nói thời gian giải nén 'ổn định ±1,2%' — đúng trong MỘT phiên (9.415–9.523 s) nhưng phiên sau chậm hơn 26% với cùng blob. Báo cáo nên ghi khoảng giá trị và nêu rõ chưa kiểm soát GPU.</t>
  </si>
  <si>
    <t xml:space="preserve">c thấp = MIN (các lần ĐÚNG)</t>
  </si>
  <si>
    <t xml:space="preserve">c cao = MAX (các lần ĐÚNG)</t>
  </si>
  <si>
    <t xml:space="preserve">C. Escape (thử nghiệm đã loại bỏ): chi phí so với codec v3 không escape</t>
  </si>
  <si>
    <t xml:space="preserve">eps</t>
  </si>
  <si>
    <t xml:space="preserve">Escape</t>
  </si>
  <si>
    <t xml:space="preserve">% token</t>
  </si>
  <si>
    <t xml:space="preserve">Byte phần escape</t>
  </si>
  <si>
    <t xml:space="preserve">Bit / escape</t>
  </si>
  <si>
    <t xml:space="preserve">Phụ phí so với v3 (B)</t>
  </si>
  <si>
    <t xml:space="preserve">Phụ phí (%)</t>
  </si>
  <si>
    <t xml:space="preserve">v2 eps=0.20</t>
  </si>
  <si>
    <t xml:space="preserve">v2 eps=0.152</t>
  </si>
  <si>
    <t xml:space="preserve">Kết luận: nhiễu logit giữa các batch ~0,02 → eps phải ≥ 0,15 → ~40% token bị escape (≈15,6 bit/escape, đắt gấp ~2,6 lần rank bình thường). Escape chỉ đáng dùng nếu cần giải nén trên MÁY KHÁC; cùng máy thì giữ nguyên kế hoạch batch (v3) là đủ.</t>
  </si>
  <si>
    <t xml:space="preserve">⚠ MỤC D CŨ ĐÃ BỊ GỠ: nó so Adaptive (codec v3) với Fixed của GĐ3 (codec khác, nhỏ hơn ~2,6%) nên cho kết luận SAI CHIỀU ('Adaptive kém Fixed 1,5%'). Phép so đúng, cùng codec v3, nằm ở sheet GD5_SoSanh.</t>
  </si>
  <si>
    <t xml:space="preserve">Giai đoạn 5 — Fixed vs Adaptive CÙNG codec v3, cùng chi phí giải nén (GPT-2 · 1 MB enwik8 · Kaggle T4)</t>
  </si>
  <si>
    <t xml:space="preserve">Nguồn: version4_2.ipynb (cells 7–14). Chi phí giải nén mô hình hoá là c·L² mỗi chunk ⇒ cả file ∝ Σn·L²; L̄ = Σn·L² / Σn·L là độ dài chunk 'tương đương' (Fixed-L có L̄ = L).</t>
  </si>
  <si>
    <t xml:space="preserve">Dec λ=1000, phiên 2 (s)</t>
  </si>
  <si>
    <t xml:space="preserve">Dec λ=1000, phiên 1 (s)</t>
  </si>
  <si>
    <t xml:space="preserve">Σ n·L² của λ=1000</t>
  </si>
  <si>
    <t xml:space="preserve">c chậm (s / đơn vị Σn·L²)</t>
  </si>
  <si>
    <t xml:space="preserve">c nhanh (phiên 1)</t>
  </si>
  <si>
    <t xml:space="preserve">A. Fixed (codec v3)</t>
  </si>
  <si>
    <t xml:space="preserve">Policy</t>
  </si>
  <si>
    <t xml:space="preserve">Mục tiêu / codec</t>
  </si>
  <si>
    <t xml:space="preserve">L̄</t>
  </si>
  <si>
    <t xml:space="preserve">Dec ước tính, c chậm (s)</t>
  </si>
  <si>
    <t xml:space="preserve">Dec ước tính, c nhanh (s)</t>
  </si>
  <si>
    <t xml:space="preserve">quick_check</t>
  </si>
  <si>
    <t xml:space="preserve">FixedPolicy</t>
  </si>
  <si>
    <t xml:space="preserve">OK (mẫu)</t>
  </si>
  <si>
    <t xml:space="preserve">B. Adaptive-DP (codec v3). 'DP-bits' = mục tiêu cũ (bit AC + λ·thời gian nén); 'DP-decode' = bit AC + λ·c·L²</t>
  </si>
  <si>
    <t xml:space="preserve">Adaptive λ=1000</t>
  </si>
  <si>
    <t xml:space="preserve">DP-bits</t>
  </si>
  <si>
    <t xml:space="preserve">ĐÚNG ✓ (đầy đủ)</t>
  </si>
  <si>
    <t xml:space="preserve">Dec đo thật: 12.000,9 s (phiên 2); 9.523 s (phiên 1).</t>
  </si>
  <si>
    <t xml:space="preserve">Adaptive λ=5000</t>
  </si>
  <si>
    <t xml:space="preserve">Adaptive λ=12000</t>
  </si>
  <si>
    <t xml:space="preserve">Adaptive λ=40000</t>
  </si>
  <si>
    <t xml:space="preserve">Adaptive λ=100</t>
  </si>
  <si>
    <t xml:space="preserve">DP-decode</t>
  </si>
  <si>
    <t xml:space="preserve">Cùng vùng L̄ với DP-bits λ=12000.</t>
  </si>
  <si>
    <t xml:space="preserve">Adaptive λ=300</t>
  </si>
  <si>
    <t xml:space="preserve">≈ Fixed-32.</t>
  </si>
  <si>
    <t xml:space="preserve">Adaptive λ=3000</t>
  </si>
  <si>
    <t xml:space="preserve">Suy biến thành Fixed-32.</t>
  </si>
  <si>
    <t xml:space="preserve">Adaptive λ=10000</t>
  </si>
  <si>
    <t xml:space="preserve">Cột I–J (xám nghiêng) chỉ là ước tính theo mô hình c·Σn·L²; c dao động 8,1–10,2 (×1e-5 s) giữa các phiên. CẦN đo t_dec(L) thật trong cùng phiên (xem bước tiếp theo).</t>
  </si>
  <si>
    <t xml:space="preserve">C. Ở CÙNG L̄ (cùng chi phí giải nén theo mô hình): Adaptive nhỏ hơn Fixed bao nhiêu?</t>
  </si>
  <si>
    <t xml:space="preserve">Adaptive</t>
  </si>
  <si>
    <t xml:space="preserve">Fixed tại L̄ — chia sẻ thời gian (tuyến tính theo L̄)</t>
  </si>
  <si>
    <t xml:space="preserve">Δ%</t>
  </si>
  <si>
    <t xml:space="preserve">Fixed tại L̄ — nội suy log₂ (dây cung)</t>
  </si>
  <si>
    <t xml:space="preserve">Fixed tại L̄ — đường cong bậc 2 (ước lượng tốt nhất)</t>
  </si>
  <si>
    <t xml:space="preserve">L tương đương KÍCH THƯỚC (dây cung)</t>
  </si>
  <si>
    <t xml:space="preserve">Tiết kiệm giải nén (dây cung)</t>
  </si>
  <si>
    <t xml:space="preserve">L tương đương KÍCH THƯỚC (chia sẻ thời gian)</t>
  </si>
  <si>
    <t xml:space="preserve">Tiết kiệm giải nén (chia sẻ thời gian)</t>
  </si>
  <si>
    <t xml:space="preserve">λ=1000 DP-bits</t>
  </si>
  <si>
    <t xml:space="preserve">λ=5000 DP-bits</t>
  </si>
  <si>
    <t xml:space="preserve">λ=12000 DP-bits</t>
  </si>
  <si>
    <t xml:space="preserve">λ=40000 DP-bits</t>
  </si>
  <si>
    <t xml:space="preserve">λ=100 DP-decode</t>
  </si>
  <si>
    <t xml:space="preserve">λ=300 DP-decode</t>
  </si>
  <si>
    <t xml:space="preserve">λ=1000 DP-decode</t>
  </si>
  <si>
    <t xml:space="preserve">≈ Fixed-32 (suy biến)</t>
  </si>
  <si>
    <t xml:space="preserve">Cách đọc: Δ% &lt; 0 nghĩa là Adaptive NHỎ hơn Fixed ở cùng L̄. Ba cột Fixed là ba cách nội suy giữa các điểm Fixed: 'chia sẻ thời gian' = trộn hai Fixed theo tỉ lệ token (đạt được thật bằng layout lai, nên đây là đối thủ hợp lệ nhưng yếu nhất); 'dây cung log₂' ; 'bậc 2' = ước lượng đường cong Fixed liên tục (Fixed với L không phải luỹ thừa 2 không chạy được trong cây này). Kết quả đáng tin nhất = cột bậc 2 (lợi ~0,5–1,0%); cột chia sẻ thời gian cho ~1,3–2,0%.</t>
  </si>
  <si>
    <t xml:space="preserve">D. DP-decode (mới) có tốt hơn DP-bits (cũ) ở cùng L̄ không?</t>
  </si>
  <si>
    <t xml:space="preserve">DP-bits λ=12000 (L̄≈86,05)</t>
  </si>
  <si>
    <t xml:space="preserve">DP-decode λ=100 (L̄≈86,87)</t>
  </si>
  <si>
    <t xml:space="preserve">Chênh kích thước (B)</t>
  </si>
  <si>
    <t xml:space="preserve">Giảm kích thước kỳ vọng nếu chỉ vì L̄ lớn hơn (B)</t>
  </si>
  <si>
    <t xml:space="preserve">Giảm kích thước thực tế (B)</t>
  </si>
  <si>
    <t xml:space="preserve">⇒ Phần cải thiện NGOÀI hiệu ứng L̄ (B)</t>
  </si>
  <si>
    <t xml:space="preserve">Kết luận: hai mục tiêu cho cùng một đường Pareto (DP-decode còn nhỉnh hơn một chút về L̄ nhưng không cho thêm nén ngoài hiệu ứng đó). Giả thuyết 2 (hàm chi phí sai) KHÔNG phải nguyên nhân làm Adaptive chưa nén tốt hơn nhiều; đổi mục tiêu chỉ dịch điểm dọc theo cùng đường cong.</t>
  </si>
  <si>
    <t xml:space="preserve">E. Giả thuyết 1: DP tối ưu bit arithmetic coding, file thật là rank + bzip2</t>
  </si>
  <si>
    <t xml:space="preserve">AC bits (lý tưởng)</t>
  </si>
  <si>
    <t xml:space="preserve">AC bytes = bits/8</t>
  </si>
  <si>
    <t xml:space="preserve">bz2(rank) (B)</t>
  </si>
  <si>
    <t xml:space="preserve">File thật (B)</t>
  </si>
  <si>
    <t xml:space="preserve">File thật / AC lý tưởng</t>
  </si>
  <si>
    <t xml:space="preserve">Khoảng cách file thật / AC lý tưởng là 1,28–1,37× và GIẢM khi chunk ngắn đi (L̄ nhỏ → tỉ lệ nhỏ hơn). Nghĩa là mục tiêu 'bit AC' đánh giá quá cao lợi ích của chunk dài so với kích thước rank+bz2 thật — hướng sai lệch có cơ chế rõ, nhưng CHƯA chứng minh sai lệch đủ lớn để đổi lựa chọn của DP. Phép thử trực tiếp: DP với mục tiêu proxy rank (xem bước tiếp theo).</t>
  </si>
  <si>
    <t xml:space="preserve">F. Tổng tính toán: chi phí phân tích ở encoder so với phần giải nén tiết kiệm (ước tính theo dây cung, cận trên)</t>
  </si>
  <si>
    <t xml:space="preserve">Enc Adaptive (s)</t>
  </si>
  <si>
    <t xml:space="preserve">Enc Fixed trung bình (s)</t>
  </si>
  <si>
    <t xml:space="preserve">Chi phí phân tích (s)</t>
  </si>
  <si>
    <t xml:space="preserve">L tương đương (dây cung)</t>
  </si>
  <si>
    <t xml:space="preserve">Tiết kiệm dec — c chậm (s)</t>
  </si>
  <si>
    <t xml:space="preserve">Ròng — c chậm (s)</t>
  </si>
  <si>
    <t xml:space="preserve">Tiết kiệm dec — c nhanh (s)</t>
  </si>
  <si>
    <t xml:space="preserve">Ròng — c nhanh (s)</t>
  </si>
  <si>
    <t xml:space="preserve">Kết luận (c chậm)</t>
  </si>
  <si>
    <t xml:space="preserve">Adaptive chỉ đáng giá về tổng tính toán khi file được giải nén nhiều lần hoặc ở vùng context dài (decode đắt). Ở vùng chunk ngắn, phần tiết kiệm giải nén nhỏ hơn chi phí 135 s phân tích → cần FeaturePolicy (không cần chấm điểm LLM) để encoder rẻ.</t>
  </si>
  <si>
    <t xml:space="preserve">Giai đoạn 5 — Tổng hợp kết quả Phiên A, B, C</t>
  </si>
  <si>
    <t xml:space="preserve">Các ô là liên kết tới GD5_PhienA_enwik8, GD5_PhienB_mixed, GD5_LoRA_bz2. Δ% = so với đường Fixed (nội suy bậc 2) ở CÙNG L̄; âm = Adaptive tốt hơn.</t>
  </si>
  <si>
    <t xml:space="preserve">Chính sách</t>
  </si>
  <si>
    <t xml:space="preserve">enwik8 L̄≈86</t>
  </si>
  <si>
    <t xml:space="preserve">enwik8 L̄≈164</t>
  </si>
  <si>
    <t xml:space="preserve">enwik8 L̄≈411</t>
  </si>
  <si>
    <t xml:space="preserve">hỗn hợp L̄≈86</t>
  </si>
  <si>
    <t xml:space="preserve">hỗn hợp L̄≈164</t>
  </si>
  <si>
    <t xml:space="preserve">hỗn hợp L̄≈411</t>
  </si>
  <si>
    <t xml:space="preserve">DP — mục tiêu bit AC</t>
  </si>
  <si>
    <t xml:space="preserve">DP — mục tiêu κ·AC (calibrated)</t>
  </si>
  <si>
    <t xml:space="preserve">DP — mục tiêu rank-proxy</t>
  </si>
  <si>
    <t xml:space="preserve">FeaturePolicy 'repeat' (L̄≈165 / 147)</t>
  </si>
  <si>
    <t xml:space="preserve">Ghi chú: FeaturePolicy chỉ có một điểm L̄ trên mỗi tập (cột tương ứng với L̄ gần nhất).</t>
  </si>
  <si>
    <t xml:space="preserve">Chi phí encoder (giây, T4)</t>
  </si>
  <si>
    <t xml:space="preserve">enwik8</t>
  </si>
  <si>
    <t xml:space="preserve">hỗn hợp</t>
  </si>
  <si>
    <t xml:space="preserve">Fixed (trung bình 5 mức)</t>
  </si>
  <si>
    <t xml:space="preserve">Adaptive-DP = phân tích + mã hoá (AC L̄≈164)</t>
  </si>
  <si>
    <t xml:space="preserve">FeaturePolicy 'repeat'</t>
  </si>
  <si>
    <t xml:space="preserve">DP / Fixed (×)</t>
  </si>
  <si>
    <t xml:space="preserve">Feature / Fixed (×)</t>
  </si>
  <si>
    <t xml:space="preserve">Trần lợi thế của chọn context theo khối (oracle) so với Fixed tốt nhất, theo J</t>
  </si>
  <si>
    <t xml:space="preserve">Đọc: ngay cả oracle chỉ hơn Fixed tốt nhất ~1% theo J → trần lợi thế của Adaptive mức khối chỉ cỡ 1%; phù hợp với lợi thế đo được (≤ 1,2%).</t>
  </si>
  <si>
    <t xml:space="preserve">Kết luận theo giả thuyết</t>
  </si>
  <si>
    <t xml:space="preserve">Câu hỏi</t>
  </si>
  <si>
    <t xml:space="preserve">Kết luận</t>
  </si>
  <si>
    <t xml:space="preserve">Bằng chứng</t>
  </si>
  <si>
    <t xml:space="preserve">H2 — hàm chi phí giải nén sai</t>
  </si>
  <si>
    <t xml:space="preserve">BÁC BỎ</t>
  </si>
  <si>
    <t xml:space="preserve">DP-decode ≈ DP-bits trên cùng đường Pareto (GD5_SoSanh mục D).</t>
  </si>
  <si>
    <t xml:space="preserve">H1 — mục tiêu bit AC khác rank+bz2</t>
  </si>
  <si>
    <t xml:space="preserve">ỦNG HỘ YẾU</t>
  </si>
  <si>
    <t xml:space="preserve">rank-proxy tốt hơn AC ở 6/6 điểm, 0,11–0,22 pp; κ·AC tệ hơn ở 6/6. Hiệu ứng nhỏ hơn cả lợi thế tổng của Adaptive.</t>
  </si>
  <si>
    <t xml:space="preserve">Adaptive thắng Fixed ở cùng chi phí giải nén</t>
  </si>
  <si>
    <t xml:space="preserve">CÓ NHƯNG NHỎ (enwik8); ~0 (hỗn hợp)</t>
  </si>
  <si>
    <t xml:space="preserve">0,55–1,18% trên enwik8; −0,29…+0,19% trên hỗn hợp.</t>
  </si>
  <si>
    <t xml:space="preserve">Dữ liệu không đồng nhất giúp Adaptive</t>
  </si>
  <si>
    <t xml:space="preserve">KHÔNG ĐƯỢC ỦNG HỘ</t>
  </si>
  <si>
    <t xml:space="preserve">Lợi thế giảm thay vì tăng; cần phân tích lợi ích biên theo đoạn.</t>
  </si>
  <si>
    <t xml:space="preserve">FeaturePolicy rẻ giữ được lợi thế của DP</t>
  </si>
  <si>
    <t xml:space="preserve">KHÔNG</t>
  </si>
  <si>
    <t xml:space="preserve">Encode ≈ Fixed nhưng Δ% bậc 2 ≈ 0 / +0,64%; gain_captured theo J gây hiểu lầm.</t>
  </si>
  <si>
    <t xml:space="preserve">LoRA / online memorization</t>
  </si>
  <si>
    <t xml:space="preserve">KHÔNG ĐÁNG ở 1 MB</t>
  </si>
  <si>
    <t xml:space="preserve">−2,0% byte; ròng 0,289× khi tính adapter; hoà vốn ≳ 766 MB.</t>
  </si>
  <si>
    <t xml:space="preserve">Giai đoạn 5 · Phiên A — enwik8 1 MB (286.273 token) · GPT-2 · T4</t>
  </si>
  <si>
    <t xml:space="preserve">Nguồn: notebook Phiên A/B (json stage5_session_*.json). Xanh dương = số đo; đen = công thức; xanh lá = liên kết sheet. Δ% &lt; 0: nhỏ hơn đường Fixed ở CÙNG L̄ (cùng chi phí giải nén theo mô hình).</t>
  </si>
  <si>
    <t xml:space="preserve">Token</t>
  </si>
  <si>
    <t xml:space="preserve">Phân tích LLM 5 mức, 1 lần (s)</t>
  </si>
  <si>
    <t xml:space="preserve">L̄ = Σn·L² / Σn·L</t>
  </si>
  <si>
    <t xml:space="preserve">B. Adaptive (codec v3, không escape). Enc = chỉ lượt rank, KHÔNG gồm phân tích LLM (B6)</t>
  </si>
  <si>
    <t xml:space="preserve">Mục tiêu DP</t>
  </si>
  <si>
    <t xml:space="preserve">L̄ mục tiêu</t>
  </si>
  <si>
    <t xml:space="preserve">λ</t>
  </si>
  <si>
    <t xml:space="preserve">Ratio</t>
  </si>
  <si>
    <t xml:space="preserve">Fixed tại L̄ (bậc 2)</t>
  </si>
  <si>
    <t xml:space="preserve">Δ% (bậc 2)</t>
  </si>
  <si>
    <t xml:space="preserve">Fixed tại L̄ (chia sẻ thời gian)</t>
  </si>
  <si>
    <t xml:space="preserve">Δ% (chia sẻ)</t>
  </si>
  <si>
    <t xml:space="preserve">AC L̄≈86</t>
  </si>
  <si>
    <t xml:space="preserve">AC L̄≈164</t>
  </si>
  <si>
    <t xml:space="preserve">AC L̄≈411</t>
  </si>
  <si>
    <t xml:space="preserve">calibrated L̄≈86</t>
  </si>
  <si>
    <t xml:space="preserve">κ·AC</t>
  </si>
  <si>
    <t xml:space="preserve">calibrated L̄≈164</t>
  </si>
  <si>
    <t xml:space="preserve">calibrated L̄≈411</t>
  </si>
  <si>
    <t xml:space="preserve">rank-proxy L̄≈86</t>
  </si>
  <si>
    <t xml:space="preserve">rank proxy</t>
  </si>
  <si>
    <t xml:space="preserve">rank-proxy L̄≈164</t>
  </si>
  <si>
    <t xml:space="preserve">rank-proxy L̄≈411</t>
  </si>
  <si>
    <t xml:space="preserve">C. Ba mục tiêu DP ở cùng L̄ (đơn vị: điểm phần trăm của Δ% bậc 2; âm = tốt hơn AC)</t>
  </si>
  <si>
    <t xml:space="preserve">Δ% AC</t>
  </si>
  <si>
    <t xml:space="preserve">Δ% calibrated</t>
  </si>
  <si>
    <t xml:space="preserve">Δ% rank-proxy</t>
  </si>
  <si>
    <t xml:space="preserve">rank-proxy − AC</t>
  </si>
  <si>
    <t xml:space="preserve">calibrated − AC</t>
  </si>
  <si>
    <t xml:space="preserve">D. κ_L = bit thật (rank+bz2 của Fixed-L) / bit AC lý tưởng</t>
  </si>
  <si>
    <t xml:space="preserve">L</t>
  </si>
  <si>
    <t xml:space="preserve">κ_L</t>
  </si>
  <si>
    <t xml:space="preserve">Độ giãn κ (max/min − 1)</t>
  </si>
  <si>
    <t xml:space="preserve">E. FeaturePolicy (học ngưỡng trên nửa đầu file, đánh giá nửa sau; mục tiêu J = bit AC + λ·t_dec, λ cho L̄≈164)</t>
  </si>
  <si>
    <t xml:space="preserve">Đặc trưng</t>
  </si>
  <si>
    <t xml:space="preserve">Ngưỡng</t>
  </si>
  <si>
    <t xml:space="preserve">Nhãn L</t>
  </si>
  <si>
    <t xml:space="preserve">J chính sách (nửa sau)</t>
  </si>
  <si>
    <t xml:space="preserve">J oracle theo khối</t>
  </si>
  <si>
    <t xml:space="preserve">J Fixed tốt nhất</t>
  </si>
  <si>
    <t xml:space="preserve">gain_captured (J)</t>
  </si>
  <si>
    <t xml:space="preserve">Trần lợi thế của oracle theo khối (J)</t>
  </si>
  <si>
    <t xml:space="preserve">entropy</t>
  </si>
  <si>
    <t xml:space="preserve">6.036; 6.062; 6.278</t>
  </si>
  <si>
    <t xml:space="preserve">256/128/256/128</t>
  </si>
  <si>
    <t xml:space="preserve">repeat</t>
  </si>
  <si>
    <t xml:space="preserve">0.413; 0.746</t>
  </si>
  <si>
    <t xml:space="preserve">128/256/512</t>
  </si>
  <si>
    <t xml:space="preserve">llm32</t>
  </si>
  <si>
    <t xml:space="preserve">6.016; 7.276</t>
  </si>
  <si>
    <t xml:space="preserve">256/128/256</t>
  </si>
  <si>
    <t xml:space="preserve">F. Encode thật của FeaturePolicy tốt nhất ('repeat') — so với đường Fixed</t>
  </si>
  <si>
    <t xml:space="preserve">Fixed (chia sẻ thời gian)</t>
  </si>
  <si>
    <t xml:space="preserve">Feature-repeat</t>
  </si>
  <si>
    <t xml:space="preserve">Đọc: (1) DP-bits cho lợi 0,55–0,96% so với đường Fixed (bậc 2); (2) rank-proxy tốt hơn AC đều 0,11–0,22 pp, calibrated TỆ hơn đều; (3) FeaturePolicy 'repeat' có gain_captured theo J = 0,78 nhưng ở cùng L̄ chỉ ≈ 0% so với đường Fixed (Δ% bậc 2 ≈ +0,05%) — gain_captured so với Fixed RỜI RẠC (5 điểm) nên đánh giá quá cao; dùng Δ% bậc 2 làm số chính.</t>
  </si>
  <si>
    <t xml:space="preserve">Giai đoạn 5 · Phiên B — dữ liệu hỗn hợp 964.296 B (425.852 token): wiki / mã Python / bảng số xen kẽ</t>
  </si>
  <si>
    <t xml:space="preserve">3.728; 4.776</t>
  </si>
  <si>
    <t xml:space="preserve">128/256/128</t>
  </si>
  <si>
    <t xml:space="preserve">0.6125; 0.6399; 0.6614</t>
  </si>
  <si>
    <t xml:space="preserve">128/256/128/256</t>
  </si>
  <si>
    <t xml:space="preserve">5.282; 5.521; 7.596</t>
  </si>
  <si>
    <t xml:space="preserve">Đọc: trên dữ liệu hỗn hợp lợi thế của DP so với đường Fixed (bậc 2) gần như BIẾN MẤT (−0,29…+0,19%), ngược với giả thuyết 'dữ liệu không đồng nhất giúp Adaptive'. rank-proxy vẫn tốt hơn AC 0,13–0,17 pp ở cả 3 mức; calibrated tệ hơn 0,5–1,1 pp. FeaturePolicy kém đường Fixed 0,64%. Chú ý: file hỗn hợp chỉ có ~6 đoạn lớn (60–180 KB) nên 'không đồng nhất' ở thang vĩ mô; cần kiểm tra lợi ích biên của ngữ cảnh theo từng đoạn (xem Phiên D0).</t>
  </si>
  <si>
    <t xml:space="preserve">Giai đoạn 5 · Phiên C — LoRA / online memorization trên pipeline rank + bzip2 (enwik8 1 MB, GPT-2, adapter đã merge)</t>
  </si>
  <si>
    <t xml:space="preserve">Nguồn: stage5_session_C.json. Adapter huấn luyện trên chính 1 MB này (in-sample).</t>
  </si>
  <si>
    <t xml:space="preserve">Adapter — file cần để giải nén (B)</t>
  </si>
  <si>
    <t xml:space="preserve">Adapter — tổng thư mục như notebook ghi (B)</t>
  </si>
  <si>
    <t xml:space="preserve">Ratio (không adapter)</t>
  </si>
  <si>
    <t xml:space="preserve">Δ% bytes so với base</t>
  </si>
  <si>
    <t xml:space="preserve">Net = nén + adapter cần thiết (B)</t>
  </si>
  <si>
    <t xml:space="preserve">Ratio ròng</t>
  </si>
  <si>
    <t xml:space="preserve">Net (nếu tính cả thư mục, như notebook)</t>
  </si>
  <si>
    <t xml:space="preserve">Ratio ròng (thư mục)</t>
  </si>
  <si>
    <t xml:space="preserve">Tiết kiệm / 1 MB gốc (B)</t>
  </si>
  <si>
    <t xml:space="preserve">Điểm hoà vốn (MB dữ liệu)</t>
  </si>
  <si>
    <t xml:space="preserve">Base Fixed-512</t>
  </si>
  <si>
    <t xml:space="preserve">LoRA Fixed-512</t>
  </si>
  <si>
    <t xml:space="preserve">Base Adaptive-DP λ=1000</t>
  </si>
  <si>
    <t xml:space="preserve">LoRA Adaptive-DP λ=1000</t>
  </si>
  <si>
    <t xml:space="preserve">So sánh Adaptive với Fixed khi có LoRA (cùng khuôn rank+bz2)</t>
  </si>
  <si>
    <t xml:space="preserve">Adaptive − Fixed-512, bytes (không LoRA)</t>
  </si>
  <si>
    <t xml:space="preserve">Adaptive − Fixed-512, bytes (có LoRA)</t>
  </si>
  <si>
    <t xml:space="preserve">Adaptive − Fixed-512, L̄ (không LoRA)</t>
  </si>
  <si>
    <t xml:space="preserve">Adaptive − Fixed-512, L̄ (có LoRA)</t>
  </si>
  <si>
    <t xml:space="preserve">LoRA giảm bytes trên pipeline AC (GĐ3.5, ctx 512)</t>
  </si>
  <si>
    <t xml:space="preserve">LoRA giảm bytes trên pipeline rank+bz2 (Fixed-512)</t>
  </si>
  <si>
    <t xml:space="preserve">Thời gian nén tăng vì adapter (Fixed-512)</t>
  </si>
  <si>
    <t xml:space="preserve">⚠ Sửa lỗi hạch toán: notebook cộng cả thư mục adapter (6.817.985 B, gồm cả file không cần để giải nén) nên ra ratio ròng 0,142×. Chỉ cần adapter_model.safetensors (+ adapter_config.json vài trăm B): 3.253.104 B → ratio ròng ≈ 0,289×. Kết luận không đổi: ở 1 MB LoRA làm TỆ hơn không nén.</t>
  </si>
  <si>
    <t xml:space="preserve">Kết quả chính: LoRA chỉ giảm ~2,0% byte trên rank+bz2 (một nửa mức 4,2–4,6% trên AC); cần ≳ 766 MB dữ liệu cùng phân phối mới hoà vốn (giả định tuyến tính — thực tế adapter cố định 'nhớ' được ít hơn khi dữ liệu lớn nên con số thật có thể xa hơn). Quan hệ Adaptive/Fixed không đổi khi có LoRA (+1,4% byte, L̄ thấp hơn ~19%).</t>
  </si>
  <si>
    <t xml:space="preserve">Chưa làm: kiểm chứng ÂM của fingerprint (giải nén blob LoRA bằng mô hình base, và ngược lại, phải bị từ chối). Notebook mới chỉ kiểm tra trường hợp được chấp nhận.</t>
  </si>
  <si>
    <t xml:space="preserve">Giai đoạn 4–5 — Mẫu bảng Fixed vs Adaptive</t>
  </si>
  <si>
    <t xml:space="preserve">Điền ô xanh (input) hoặc vàng. Cột tính toán tự cập nhật. Chạy Fixed bằng CHÍNH adaptive_context_finezip.py (FixedPolicy) để so sánh cùng khuôn mã hoá.</t>
  </si>
  <si>
    <t xml:space="preserve">So với Fixed-512 (kích thước)</t>
  </si>
  <si>
    <t xml:space="preserve">Tiết kiệm enc so với Fixed-512</t>
  </si>
  <si>
    <t xml:space="preserve">Lossless?</t>
  </si>
  <si>
    <t xml:space="preserve">Phân bố chunk 32/64/128/256/512</t>
  </si>
  <si>
    <t xml:space="preserve">quick_check OK (mẫu)</t>
  </si>
  <si>
    <t xml:space="preserve">8947 ×32</t>
  </si>
  <si>
    <t xml:space="preserve">1/4473 (32/64)</t>
  </si>
  <si>
    <t xml:space="preserve">1/1/2236 (32/64/128)</t>
  </si>
  <si>
    <t xml:space="preserve">1/1/1118 (32/64/256)</t>
  </si>
  <si>
    <t xml:space="preserve">True (decode đầy đủ)</t>
  </si>
  <si>
    <t xml:space="preserve">1/1/559 (32/64/512)</t>
  </si>
  <si>
    <t xml:space="preserve">Phiên D: enc 25,29 s, dec 13.516,68 s, GPU 768,5 MiB. E11 và E13 đã đổi sang phiên D để cột tiết kiệm enc so cùng phiên. E7–E10 và E12 vẫn là phiên A/B: cột G của các dòng đó chỉ tham khảo, không so được trực tiếp.</t>
  </si>
  <si>
    <t xml:space="preserve">Adaptive-Feature (repeat, ngưỡng học từ DP)</t>
  </si>
  <si>
    <t xml:space="preserve">quick_check OK</t>
  </si>
  <si>
    <t xml:space="preserve">1/1/1680/254/12</t>
  </si>
  <si>
    <t xml:space="preserve">ThresholdPolicy-repeat, ngưỡng học trên nửa đầu, enwik8 1 MB. Chưa giải nén. Hỗn hợp: 279.355 B (GD5_PhienB_mixed B51).</t>
  </si>
  <si>
    <t xml:space="preserve">1/17/50/397/346</t>
  </si>
  <si>
    <t xml:space="preserve">v3, không escape. Dec phiên D = 10.833,34 s (cùng phiên Fixed-512 dòng 11). Enc phiên D = 183,49 s. Tham chiếu dec: phiên 2 = 12.000,91 s; phiên 1 = 9.523,11 s (cùng blob, chênh tới 26%). Enc DP 160,46 s (phiên A) đã thay.</t>
  </si>
  <si>
    <t xml:space="preserve">Adaptive-DP λ=2000</t>
  </si>
  <si>
    <t xml:space="preserve">Adaptive-DP λ=5000</t>
  </si>
  <si>
    <t xml:space="preserve">39/380/1401/292/13</t>
  </si>
  <si>
    <t xml:space="preserve">v3. Chưa giải nén đầy đủ; bản v1 cùng layout đã giải nén đúng 4.605,5 s.</t>
  </si>
  <si>
    <t xml:space="preserve">Adaptive-DP λ=12000</t>
  </si>
  <si>
    <t xml:space="preserve">563/2694/703/23/0</t>
  </si>
  <si>
    <t xml:space="preserve">v3. Chưa giải nén đầy đủ.</t>
  </si>
  <si>
    <t xml:space="preserve">Adaptive-DP λ=40000</t>
  </si>
  <si>
    <t xml:space="preserve">6735/1100/3/0/0</t>
  </si>
  <si>
    <t xml:space="preserve">⚠ Enc: Fixed ≈ 27 s (chỉ lượt rank). Adaptive ≈ 160–165 s (chấm điểm 5 mức L ≈ 135 s + lượt rank) → encoder chậm ~6×. Tất cả số Enc trong bảng này cùng một phiên Kaggle. So sánh ĐÚNG giữa Fixed và Adaptive phải ở cùng chi phí giải nén — xem GD5_SoSanh.</t>
  </si>
  <si>
    <t xml:space="preserve">Ablation (điền sau)</t>
  </si>
  <si>
    <t xml:space="preserve">Thí nghiệm</t>
  </si>
  <si>
    <t xml:space="preserve">Kết luận ngắn</t>
  </si>
  <si>
    <t xml:space="preserve">A. Context</t>
  </si>
  <si>
    <t xml:space="preserve">Adaptive OFF: Fixed 32…512</t>
  </si>
  <si>
    <t xml:space="preserve">300.576 → 213.691 B (L 32→512)</t>
  </si>
  <si>
    <t xml:space="preserve">26,5–28,5 s (enc)</t>
  </si>
  <si>
    <t xml:space="preserve">Tỉ lệ nén tăng đơn điệu theo L (3,327→4,680). Enc gần như không đổi theo L. Dec chỉ đo tại L=512 (13.517 s).</t>
  </si>
  <si>
    <t xml:space="preserve">B. Online memorization</t>
  </si>
  <si>
    <t xml:space="preserve">No LoRA / LoRA (pipeline rank+bzip2)</t>
  </si>
  <si>
    <t xml:space="preserve">Fixed-512: 213.691 → 209.447 B (−1,99%)</t>
  </si>
  <si>
    <t xml:space="preserve">26,0 → 29,3 s</t>
  </si>
  <si>
    <t xml:space="preserve">LoRA giảm ~2% byte nhưng adapter 3,25 MB (file cần) hoặc 6,82 MB (thư mục) ≫ lợi ích ở 1 MB. Hoà vốn ≈ 766 MB. In-sample, chưa held-out.</t>
  </si>
  <si>
    <t xml:space="preserve">Fixed-512 + LoRA vs Adaptive + LoRA</t>
  </si>
  <si>
    <t xml:space="preserve">Adaptive+LoRA 212.371 vs Fixed+LoRA 209.447 B (+1,40%)</t>
  </si>
  <si>
    <t xml:space="preserve">174,5 vs 29,3 s</t>
  </si>
  <si>
    <t xml:space="preserve">Chênh Adaptive vs Fixed giữ ~1,3–1,4% cả khi có LoRA: LoRA không đổi kết luận.</t>
  </si>
  <si>
    <t xml:space="preserve">C. Chính sách</t>
  </si>
  <si>
    <t xml:space="preserve">Feature (entropy) / Feature (lặp) / DP</t>
  </si>
  <si>
    <t xml:space="preserve">DP-1000: 216.534 B; Feature-repeat: 239.411 B (enwik8)</t>
  </si>
  <si>
    <t xml:space="preserve">DP 160–184 s; Feature 34,2 s</t>
  </si>
  <si>
    <t xml:space="preserve">Feature-repeat không vượt DP: Δ bậc 2 ≈ +0,05% (enwik8), +0,64% (hỗn hợp). Mục tiêu rank-proxy tốt hơn AC 0,11–0,22 pp; κ·AC tệ hơn.</t>
  </si>
  <si>
    <t xml:space="preserve">D. Dữ liệu</t>
  </si>
  <si>
    <t xml:space="preserve">Thuần văn xuôi / hỗn hợp wiki+code+bảng</t>
  </si>
  <si>
    <t xml:space="preserve">Fixed-512: enwik8 4,680× | hỗn hợp 4,097×</t>
  </si>
  <si>
    <t xml:space="preserve">Lợi thế Adaptive: 0,55–1,18% (enwik8), −0,29…+0,19% (hỗn hợp). Dữ liệu không đồng nhất không làm tăng lợi thế — giả thuyết bị bác bỏ.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</si>
</sst>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"/>
    <numFmt numFmtId="166" formatCode="#,##0"/>
    <numFmt numFmtId="167" formatCode="0.00%"/>
    <numFmt numFmtId="168" formatCode="0.000"/>
    <numFmt numFmtId="169" formatCode="#,##0.00"/>
    <numFmt numFmtId="170" formatCode="0.0%"/>
    <numFmt numFmtId="171" formatCode="0.00"/>
    <numFmt numFmtId="172" formatCode="0.0"/>
    <numFmt numFmtId="173" formatCode="0.0000"/>
    <numFmt numFmtId="174" formatCode="#,##0.0"/>
    <numFmt numFmtId="175" formatCode="0.000\×"/>
    <numFmt numFmtId="176" formatCode="0.0\×"/>
    <numFmt numFmtId="177" formatCode="0.00\×"/>
    <numFmt numFmtId="178" formatCode="0\×"/>
    <numFmt numFmtId="179" formatCode="0.00E+00"/>
    <numFmt numFmtId="180" formatCode="0.00&quot; pp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name val="Arial"/>
      <family val="2"/>
      <charset val="1"/>
    </font>
    <font>
      <b val="true"/>
      <sz val="10"/>
      <color rgb="FFC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i val="true"/>
      <sz val="10"/>
      <color rgb="FF7F7F7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2EFDA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9"/>
    <col collapsed="false" customWidth="true" hidden="false" outlineLevel="0" max="4" min="4" style="1" width="17"/>
    <col collapsed="false" customWidth="true" hidden="false" outlineLevel="0" max="5" min="5" style="1" width="50"/>
    <col collapsed="false" customWidth="true" hidden="false" outlineLevel="0" max="6" min="6" style="1" width="40"/>
    <col collapsed="false" customWidth="true" hidden="false" outlineLevel="0" max="7" min="7" style="1" width="46"/>
    <col collapsed="false" customWidth="true" hidden="false" outlineLevel="0" max="8" min="8" style="1" width="11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6" t="n">
        <f aca="false">COUNTA(B9:B17)</f>
        <v>9</v>
      </c>
    </row>
    <row r="5" customFormat="false" ht="15" hidden="false" customHeight="true" outlineLevel="0" collapsed="false">
      <c r="B5" s="5" t="s">
        <v>4</v>
      </c>
      <c r="C5" s="7" t="n">
        <f aca="false">COUNTIF(D9:D17,"ĐẠT")</f>
        <v>2</v>
      </c>
    </row>
    <row r="6" customFormat="false" ht="15" hidden="false" customHeight="true" outlineLevel="0" collapsed="false">
      <c r="B6" s="5" t="s">
        <v>5</v>
      </c>
      <c r="C6" s="8" t="n">
        <f aca="false">COUNTIF(D9:D17,"ĐẠT MỘT PHẦN")</f>
        <v>5</v>
      </c>
    </row>
    <row r="7" customFormat="false" ht="15" hidden="false" customHeight="true" outlineLevel="0" collapsed="false">
      <c r="B7" s="5" t="s">
        <v>6</v>
      </c>
      <c r="C7" s="9" t="n">
        <f aca="false">COUNTIF(D9:D17,"CHƯA ĐẠT")</f>
        <v>2</v>
      </c>
    </row>
    <row r="8" customFormat="false" ht="15" hidden="false" customHeight="true" outlineLevel="0" collapsed="false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</row>
    <row r="9" customFormat="false" ht="40.5" hidden="false" customHeight="true" outlineLevel="0" collapsed="false">
      <c r="A9" s="11" t="n">
        <v>1</v>
      </c>
      <c r="B9" s="12" t="s">
        <v>15</v>
      </c>
      <c r="C9" s="13" t="s">
        <v>16</v>
      </c>
      <c r="D9" s="14" t="s">
        <v>4</v>
      </c>
      <c r="E9" s="13" t="s">
        <v>17</v>
      </c>
      <c r="F9" s="13" t="s">
        <v>18</v>
      </c>
      <c r="G9" s="13" t="s">
        <v>19</v>
      </c>
      <c r="H9" s="13" t="s">
        <v>20</v>
      </c>
    </row>
    <row r="10" customFormat="false" ht="40.5" hidden="false" customHeight="true" outlineLevel="0" collapsed="false">
      <c r="A10" s="11" t="n">
        <v>2</v>
      </c>
      <c r="B10" s="12" t="s">
        <v>21</v>
      </c>
      <c r="C10" s="13" t="s">
        <v>16</v>
      </c>
      <c r="D10" s="15" t="s">
        <v>5</v>
      </c>
      <c r="E10" s="13" t="s">
        <v>22</v>
      </c>
      <c r="F10" s="13" t="s">
        <v>23</v>
      </c>
      <c r="G10" s="13" t="s">
        <v>24</v>
      </c>
      <c r="H10" s="13" t="s">
        <v>25</v>
      </c>
    </row>
    <row r="11" customFormat="false" ht="40.5" hidden="false" customHeight="true" outlineLevel="0" collapsed="false">
      <c r="A11" s="11" t="n">
        <v>3</v>
      </c>
      <c r="B11" s="12" t="s">
        <v>26</v>
      </c>
      <c r="C11" s="13" t="s">
        <v>27</v>
      </c>
      <c r="D11" s="15" t="s">
        <v>5</v>
      </c>
      <c r="E11" s="13" t="s">
        <v>28</v>
      </c>
      <c r="F11" s="13" t="s">
        <v>29</v>
      </c>
      <c r="G11" s="13" t="s">
        <v>30</v>
      </c>
      <c r="H11" s="13" t="s">
        <v>31</v>
      </c>
    </row>
    <row r="12" customFormat="false" ht="40.5" hidden="false" customHeight="true" outlineLevel="0" collapsed="false">
      <c r="A12" s="11" t="n">
        <v>4</v>
      </c>
      <c r="B12" s="12" t="s">
        <v>32</v>
      </c>
      <c r="C12" s="13" t="s">
        <v>33</v>
      </c>
      <c r="D12" s="15" t="s">
        <v>5</v>
      </c>
      <c r="E12" s="13" t="s">
        <v>34</v>
      </c>
      <c r="F12" s="13" t="s">
        <v>35</v>
      </c>
      <c r="G12" s="13" t="s">
        <v>36</v>
      </c>
      <c r="H12" s="13" t="s">
        <v>31</v>
      </c>
    </row>
    <row r="13" customFormat="false" ht="54" hidden="false" customHeight="true" outlineLevel="0" collapsed="false">
      <c r="A13" s="11" t="n">
        <v>5</v>
      </c>
      <c r="B13" s="12" t="s">
        <v>37</v>
      </c>
      <c r="C13" s="13" t="s">
        <v>38</v>
      </c>
      <c r="D13" s="14" t="s">
        <v>4</v>
      </c>
      <c r="E13" s="13" t="s">
        <v>39</v>
      </c>
      <c r="F13" s="13" t="s">
        <v>40</v>
      </c>
      <c r="G13" s="13" t="s">
        <v>41</v>
      </c>
      <c r="H13" s="13" t="s">
        <v>20</v>
      </c>
    </row>
    <row r="14" customFormat="false" ht="54" hidden="false" customHeight="true" outlineLevel="0" collapsed="false">
      <c r="A14" s="11" t="n">
        <v>6</v>
      </c>
      <c r="B14" s="12" t="s">
        <v>42</v>
      </c>
      <c r="C14" s="13" t="s">
        <v>43</v>
      </c>
      <c r="D14" s="15" t="s">
        <v>5</v>
      </c>
      <c r="E14" s="13" t="s">
        <v>44</v>
      </c>
      <c r="F14" s="13" t="s">
        <v>45</v>
      </c>
      <c r="G14" s="13" t="s">
        <v>46</v>
      </c>
      <c r="H14" s="13" t="s">
        <v>47</v>
      </c>
    </row>
    <row r="15" customFormat="false" ht="40.5" hidden="false" customHeight="true" outlineLevel="0" collapsed="false">
      <c r="A15" s="11" t="n">
        <v>7</v>
      </c>
      <c r="B15" s="12" t="s">
        <v>48</v>
      </c>
      <c r="C15" s="13" t="s">
        <v>43</v>
      </c>
      <c r="D15" s="15" t="s">
        <v>5</v>
      </c>
      <c r="E15" s="13" t="s">
        <v>49</v>
      </c>
      <c r="F15" s="13" t="s">
        <v>50</v>
      </c>
      <c r="G15" s="13" t="s">
        <v>51</v>
      </c>
      <c r="H15" s="13" t="s">
        <v>31</v>
      </c>
    </row>
    <row r="16" customFormat="false" ht="40.5" hidden="false" customHeight="true" outlineLevel="0" collapsed="false">
      <c r="A16" s="11" t="n">
        <v>8</v>
      </c>
      <c r="B16" s="12" t="s">
        <v>52</v>
      </c>
      <c r="C16" s="13" t="s">
        <v>43</v>
      </c>
      <c r="D16" s="16" t="s">
        <v>6</v>
      </c>
      <c r="E16" s="13" t="s">
        <v>53</v>
      </c>
      <c r="F16" s="13" t="s">
        <v>54</v>
      </c>
      <c r="G16" s="13" t="s">
        <v>55</v>
      </c>
      <c r="H16" s="13" t="s">
        <v>31</v>
      </c>
    </row>
    <row r="17" customFormat="false" ht="39.75" hidden="false" customHeight="true" outlineLevel="0" collapsed="false">
      <c r="A17" s="11" t="n">
        <v>9</v>
      </c>
      <c r="B17" s="12" t="s">
        <v>56</v>
      </c>
      <c r="C17" s="13" t="s">
        <v>57</v>
      </c>
      <c r="D17" s="16" t="s">
        <v>6</v>
      </c>
      <c r="E17" s="13" t="s">
        <v>58</v>
      </c>
      <c r="F17" s="13" t="s">
        <v>59</v>
      </c>
      <c r="G17" s="13" t="s">
        <v>60</v>
      </c>
      <c r="H17" s="13" t="s">
        <v>31</v>
      </c>
    </row>
    <row r="19" customFormat="false" ht="15" hidden="false" customHeight="true" outlineLevel="0" collapsed="false">
      <c r="A19" s="17" t="s">
        <v>61</v>
      </c>
    </row>
    <row r="20" customFormat="false" ht="15" hidden="false" customHeight="true" outlineLevel="0" collapsed="false">
      <c r="A20" s="10" t="s">
        <v>7</v>
      </c>
      <c r="B20" s="10" t="s">
        <v>62</v>
      </c>
      <c r="C20" s="10"/>
      <c r="D20" s="10"/>
      <c r="E20" s="10" t="s">
        <v>63</v>
      </c>
      <c r="F20" s="10" t="s">
        <v>64</v>
      </c>
      <c r="G20" s="10" t="s">
        <v>65</v>
      </c>
      <c r="H20" s="10"/>
    </row>
    <row r="21" customFormat="false" ht="79.5" hidden="false" customHeight="true" outlineLevel="0" collapsed="false">
      <c r="A21" s="11" t="n">
        <v>1</v>
      </c>
      <c r="B21" s="12" t="s">
        <v>66</v>
      </c>
      <c r="E21" s="13" t="s">
        <v>67</v>
      </c>
      <c r="F21" s="13" t="s">
        <v>68</v>
      </c>
      <c r="G21" s="13" t="s">
        <v>69</v>
      </c>
    </row>
    <row r="22" customFormat="false" ht="79.5" hidden="false" customHeight="true" outlineLevel="0" collapsed="false">
      <c r="A22" s="11" t="n">
        <v>2</v>
      </c>
      <c r="B22" s="12" t="s">
        <v>70</v>
      </c>
      <c r="E22" s="13" t="s">
        <v>71</v>
      </c>
      <c r="F22" s="13" t="s">
        <v>72</v>
      </c>
      <c r="G22" s="13" t="s">
        <v>73</v>
      </c>
    </row>
    <row r="23" customFormat="false" ht="79.5" hidden="false" customHeight="true" outlineLevel="0" collapsed="false">
      <c r="A23" s="11" t="n">
        <v>3</v>
      </c>
      <c r="B23" s="12" t="s">
        <v>74</v>
      </c>
      <c r="E23" s="13" t="s">
        <v>75</v>
      </c>
      <c r="F23" s="13" t="s">
        <v>76</v>
      </c>
      <c r="G23" s="13" t="s">
        <v>77</v>
      </c>
    </row>
    <row r="24" customFormat="false" ht="79.5" hidden="false" customHeight="true" outlineLevel="0" collapsed="false">
      <c r="A24" s="11" t="n">
        <v>4</v>
      </c>
      <c r="B24" s="12" t="s">
        <v>78</v>
      </c>
      <c r="E24" s="13" t="s">
        <v>79</v>
      </c>
      <c r="F24" s="13" t="s">
        <v>80</v>
      </c>
      <c r="G24" s="13" t="s">
        <v>81</v>
      </c>
    </row>
    <row r="26" customFormat="false" ht="15" hidden="false" customHeight="true" outlineLevel="0" collapsed="false">
      <c r="A26" s="17" t="s">
        <v>82</v>
      </c>
    </row>
    <row r="27" customFormat="false" ht="27.75" hidden="false" customHeight="true" outlineLevel="0" collapsed="false">
      <c r="B27" s="18" t="s">
        <v>83</v>
      </c>
      <c r="C27" s="18"/>
      <c r="D27" s="18"/>
      <c r="E27" s="18"/>
      <c r="F27" s="18"/>
      <c r="G27" s="18"/>
    </row>
    <row r="28" customFormat="false" ht="27.75" hidden="false" customHeight="true" outlineLevel="0" collapsed="false">
      <c r="B28" s="18" t="s">
        <v>84</v>
      </c>
      <c r="C28" s="18"/>
      <c r="D28" s="18"/>
      <c r="E28" s="18"/>
      <c r="F28" s="18"/>
      <c r="G28" s="18"/>
    </row>
    <row r="29" customFormat="false" ht="27.75" hidden="false" customHeight="true" outlineLevel="0" collapsed="false">
      <c r="B29" s="18" t="s">
        <v>85</v>
      </c>
      <c r="C29" s="18"/>
      <c r="D29" s="18"/>
      <c r="E29" s="18"/>
      <c r="F29" s="18"/>
      <c r="G29" s="18"/>
    </row>
    <row r="30" customFormat="false" ht="27.75" hidden="false" customHeight="true" outlineLevel="0" collapsed="false">
      <c r="B30" s="18" t="s">
        <v>86</v>
      </c>
      <c r="C30" s="18"/>
      <c r="D30" s="18"/>
      <c r="E30" s="18"/>
      <c r="F30" s="18"/>
      <c r="G30" s="18"/>
    </row>
    <row r="31" customFormat="false" ht="27.75" hidden="false" customHeight="true" outlineLevel="0" collapsed="false">
      <c r="B31" s="18" t="s">
        <v>87</v>
      </c>
      <c r="C31" s="18"/>
      <c r="D31" s="18"/>
      <c r="E31" s="18"/>
      <c r="F31" s="18"/>
      <c r="G31" s="18"/>
    </row>
    <row r="32" customFormat="false" ht="27.75" hidden="false" customHeight="true" outlineLevel="0" collapsed="false">
      <c r="B32" s="18" t="s">
        <v>88</v>
      </c>
      <c r="C32" s="18"/>
      <c r="D32" s="18"/>
      <c r="E32" s="18"/>
      <c r="F32" s="18"/>
      <c r="G32" s="18"/>
    </row>
    <row r="33" customFormat="false" ht="27.75" hidden="false" customHeight="true" outlineLevel="0" collapsed="false">
      <c r="B33" s="18" t="s">
        <v>89</v>
      </c>
      <c r="C33" s="18"/>
      <c r="D33" s="18"/>
      <c r="E33" s="18"/>
      <c r="F33" s="18"/>
      <c r="G33" s="18"/>
    </row>
    <row r="34" customFormat="false" ht="27.75" hidden="false" customHeight="true" outlineLevel="0" collapsed="false">
      <c r="B34" s="18" t="s">
        <v>90</v>
      </c>
      <c r="C34" s="18"/>
      <c r="D34" s="18"/>
      <c r="E34" s="18"/>
      <c r="F34" s="18"/>
      <c r="G34" s="18"/>
    </row>
  </sheetData>
  <mergeCells count="8">
    <mergeCell ref="B27:G27"/>
    <mergeCell ref="B28:G28"/>
    <mergeCell ref="B29:G29"/>
    <mergeCell ref="B30:G30"/>
    <mergeCell ref="B31:G31"/>
    <mergeCell ref="B32:G32"/>
    <mergeCell ref="B33:G33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8"/>
    <col collapsed="false" customWidth="true" hidden="false" outlineLevel="0" max="5" min="3" style="1" width="22"/>
    <col collapsed="false" customWidth="true" hidden="false" outlineLevel="0" max="6" min="6" style="1" width="14"/>
    <col collapsed="false" customWidth="true" hidden="false" outlineLevel="0" max="7" min="7" style="1" width="52"/>
  </cols>
  <sheetData>
    <row r="1" customFormat="false" ht="15" hidden="false" customHeight="true" outlineLevel="0" collapsed="false">
      <c r="A1" s="2" t="s">
        <v>91</v>
      </c>
    </row>
    <row r="2" customFormat="false" ht="15" hidden="false" customHeight="true" outlineLevel="0" collapsed="false">
      <c r="A2" s="3" t="s">
        <v>92</v>
      </c>
    </row>
    <row r="4" customFormat="false" ht="23.25" hidden="false" customHeight="true" outlineLevel="0" collapsed="false">
      <c r="A4" s="10" t="s">
        <v>93</v>
      </c>
      <c r="B4" s="10" t="s">
        <v>94</v>
      </c>
      <c r="C4" s="10" t="s">
        <v>95</v>
      </c>
      <c r="D4" s="10" t="s">
        <v>96</v>
      </c>
      <c r="E4" s="10" t="s">
        <v>97</v>
      </c>
    </row>
    <row r="5" customFormat="false" ht="23.25" hidden="false" customHeight="true" outlineLevel="0" collapsed="false">
      <c r="A5" s="4" t="s">
        <v>98</v>
      </c>
      <c r="B5" s="19" t="n">
        <v>213691</v>
      </c>
      <c r="C5" s="19" t="n">
        <v>216534</v>
      </c>
      <c r="D5" s="20" t="n">
        <f aca="false">C5/B5-1</f>
        <v>0.0133042570814867</v>
      </c>
      <c r="E5" s="13" t="s">
        <v>99</v>
      </c>
    </row>
    <row r="6" customFormat="false" ht="15" hidden="false" customHeight="true" outlineLevel="0" collapsed="false">
      <c r="A6" s="4" t="s">
        <v>100</v>
      </c>
      <c r="B6" s="21" t="n">
        <f aca="false">GD2_Baseline!$B$3/B5</f>
        <v>4.67965426714274</v>
      </c>
      <c r="C6" s="21" t="n">
        <f aca="false">GD2_Baseline!$B$3/C5</f>
        <v>4.61821238235104</v>
      </c>
      <c r="D6" s="22" t="n">
        <f aca="false">C6/B6-1</f>
        <v>-0.013129577803024</v>
      </c>
      <c r="E6" s="13"/>
    </row>
    <row r="7" customFormat="false" ht="34.5" hidden="false" customHeight="true" outlineLevel="0" collapsed="false">
      <c r="A7" s="4" t="s">
        <v>101</v>
      </c>
      <c r="B7" s="23" t="n">
        <v>25.289411303</v>
      </c>
      <c r="C7" s="23" t="n">
        <v>183.493111651</v>
      </c>
      <c r="D7" s="24" t="n">
        <f aca="false">C7/B7-1</f>
        <v>6.25572886820156</v>
      </c>
      <c r="E7" s="13" t="s">
        <v>102</v>
      </c>
    </row>
    <row r="8" customFormat="false" ht="15" hidden="false" customHeight="true" outlineLevel="0" collapsed="false">
      <c r="A8" s="4" t="s">
        <v>103</v>
      </c>
      <c r="B8" s="23" t="n">
        <v>13516.677884265</v>
      </c>
      <c r="C8" s="23" t="n">
        <v>10833.343960682</v>
      </c>
      <c r="D8" s="20" t="n">
        <f aca="false">C8/B8-1</f>
        <v>-0.198520224167413</v>
      </c>
      <c r="E8" s="13" t="s">
        <v>104</v>
      </c>
    </row>
    <row r="9" customFormat="false" ht="23.25" hidden="false" customHeight="true" outlineLevel="0" collapsed="false">
      <c r="A9" s="4" t="s">
        <v>105</v>
      </c>
      <c r="B9" s="23" t="n">
        <v>768.537109375</v>
      </c>
      <c r="C9" s="23" t="n">
        <v>768.537109375</v>
      </c>
      <c r="D9" s="25" t="n">
        <f aca="false">C9-B9</f>
        <v>0</v>
      </c>
      <c r="E9" s="13" t="s">
        <v>106</v>
      </c>
    </row>
    <row r="10" customFormat="false" ht="15" hidden="false" customHeight="true" outlineLevel="0" collapsed="false">
      <c r="A10" s="4" t="s">
        <v>107</v>
      </c>
      <c r="B10" s="26" t="s">
        <v>108</v>
      </c>
      <c r="C10" s="26" t="s">
        <v>108</v>
      </c>
    </row>
    <row r="11" customFormat="false" ht="15" hidden="false" customHeight="true" outlineLevel="0" collapsed="false">
      <c r="A11" s="4" t="s">
        <v>109</v>
      </c>
      <c r="B11" s="21" t="n">
        <f aca="false">GD5_SoSanh!G17</f>
        <v>146543616</v>
      </c>
      <c r="C11" s="21" t="n">
        <f aca="false">GD5_SoSanh!G21</f>
        <v>117609472</v>
      </c>
      <c r="D11" s="24" t="n">
        <f aca="false">C11/B11-1</f>
        <v>-0.197443906393029</v>
      </c>
    </row>
    <row r="12" customFormat="false" ht="15" hidden="false" customHeight="true" outlineLevel="0" collapsed="false">
      <c r="A12" s="4" t="s">
        <v>110</v>
      </c>
      <c r="B12" s="21" t="n">
        <f aca="false">GD5_SoSanh!B9</f>
        <v>286304</v>
      </c>
      <c r="C12" s="21" t="n">
        <f aca="false">GD5_SoSanh!B9</f>
        <v>286304</v>
      </c>
    </row>
    <row r="13" customFormat="false" ht="15" hidden="false" customHeight="true" outlineLevel="0" collapsed="false">
      <c r="A13" s="4" t="s">
        <v>111</v>
      </c>
      <c r="B13" s="27" t="n">
        <f aca="false">B11/B12</f>
        <v>511.846205431988</v>
      </c>
      <c r="C13" s="27" t="n">
        <f aca="false">C11/C12</f>
        <v>410.785291159048</v>
      </c>
    </row>
    <row r="15" customFormat="false" ht="15" hidden="false" customHeight="true" outlineLevel="0" collapsed="false">
      <c r="A15" s="17" t="s">
        <v>112</v>
      </c>
    </row>
    <row r="16" customFormat="false" ht="34.5" hidden="false" customHeight="true" outlineLevel="0" collapsed="false">
      <c r="A16" s="4" t="s">
        <v>113</v>
      </c>
      <c r="B16" s="28" t="n">
        <f aca="false">B8/B11*100000</f>
        <v>9.22365521829692</v>
      </c>
      <c r="C16" s="28" t="n">
        <f aca="false">C8/C11*100000</f>
        <v>9.21128526168539</v>
      </c>
      <c r="D16" s="20" t="n">
        <f aca="false">C16/B16-1</f>
        <v>-0.00134111220755495</v>
      </c>
      <c r="E16" s="13" t="s">
        <v>114</v>
      </c>
    </row>
    <row r="17" customFormat="false" ht="15" hidden="false" customHeight="true" outlineLevel="0" collapsed="false">
      <c r="A17" s="4" t="s">
        <v>115</v>
      </c>
      <c r="D17" s="20" t="n">
        <f aca="false">1-C11/B11</f>
        <v>0.197443906393029</v>
      </c>
    </row>
    <row r="18" customFormat="false" ht="15" hidden="false" customHeight="true" outlineLevel="0" collapsed="false">
      <c r="A18" s="4" t="s">
        <v>116</v>
      </c>
      <c r="D18" s="20" t="n">
        <f aca="false">1-C8/B8</f>
        <v>0.198520224167413</v>
      </c>
    </row>
    <row r="19" customFormat="false" ht="15" hidden="false" customHeight="true" outlineLevel="0" collapsed="false">
      <c r="A19" s="4" t="s">
        <v>117</v>
      </c>
      <c r="D19" s="25" t="n">
        <f aca="false">(D18-D17)*100</f>
        <v>0.107631777438388</v>
      </c>
    </row>
    <row r="21" customFormat="false" ht="15" hidden="false" customHeight="true" outlineLevel="0" collapsed="false">
      <c r="A21" s="17" t="s">
        <v>118</v>
      </c>
    </row>
    <row r="22" customFormat="false" ht="15" hidden="false" customHeight="true" outlineLevel="0" collapsed="false">
      <c r="A22" s="4" t="s">
        <v>119</v>
      </c>
      <c r="B22" s="29" t="n">
        <f aca="false">B7+B8</f>
        <v>13541.967295568</v>
      </c>
      <c r="C22" s="29" t="n">
        <f aca="false">C7+C8</f>
        <v>11016.837072333</v>
      </c>
      <c r="D22" s="20" t="n">
        <f aca="false">C22/B22-1</f>
        <v>-0.186467015325124</v>
      </c>
    </row>
    <row r="23" customFormat="false" ht="15" hidden="false" customHeight="true" outlineLevel="0" collapsed="false">
      <c r="A23" s="4" t="s">
        <v>120</v>
      </c>
      <c r="C23" s="29" t="n">
        <f aca="false">C7-B7</f>
        <v>158.203700348</v>
      </c>
    </row>
    <row r="24" customFormat="false" ht="15" hidden="false" customHeight="true" outlineLevel="0" collapsed="false">
      <c r="A24" s="4" t="s">
        <v>121</v>
      </c>
      <c r="C24" s="29" t="n">
        <f aca="false">B8-C8</f>
        <v>2683.333923583</v>
      </c>
    </row>
    <row r="25" customFormat="false" ht="23.25" hidden="false" customHeight="true" outlineLevel="0" collapsed="false">
      <c r="A25" s="4" t="s">
        <v>122</v>
      </c>
      <c r="C25" s="22" t="n">
        <f aca="false">C23/C24</f>
        <v>0.0589578877819104</v>
      </c>
      <c r="E25" s="13" t="s">
        <v>123</v>
      </c>
    </row>
    <row r="27" customFormat="false" ht="15" hidden="false" customHeight="true" outlineLevel="0" collapsed="false">
      <c r="A27" s="17" t="s">
        <v>124</v>
      </c>
    </row>
    <row r="28" customFormat="false" ht="15" hidden="false" customHeight="true" outlineLevel="0" collapsed="false">
      <c r="A28" s="10" t="s">
        <v>125</v>
      </c>
      <c r="B28" s="10" t="s">
        <v>126</v>
      </c>
      <c r="C28" s="10" t="s">
        <v>98</v>
      </c>
      <c r="D28" s="10" t="s">
        <v>103</v>
      </c>
      <c r="E28" s="10" t="s">
        <v>10</v>
      </c>
      <c r="F28" s="10" t="s">
        <v>127</v>
      </c>
      <c r="G28" s="10" t="s">
        <v>97</v>
      </c>
    </row>
    <row r="29" customFormat="false" ht="15" hidden="false" customHeight="true" outlineLevel="0" collapsed="false">
      <c r="A29" s="5" t="s">
        <v>128</v>
      </c>
      <c r="B29" s="21" t="n">
        <f aca="false">GD5_SoSanh!G13</f>
        <v>9161728</v>
      </c>
      <c r="C29" s="21" t="n">
        <f aca="false">GD5_SoSanh!C13</f>
        <v>300576</v>
      </c>
      <c r="D29" s="29" t="n">
        <f aca="false">$B$16*B29/100000</f>
        <v>845.04620275817</v>
      </c>
      <c r="E29" s="30" t="s">
        <v>129</v>
      </c>
      <c r="F29" s="5" t="s">
        <v>20</v>
      </c>
      <c r="G29" s="13" t="s">
        <v>130</v>
      </c>
    </row>
    <row r="30" customFormat="false" ht="15" hidden="false" customHeight="true" outlineLevel="0" collapsed="false">
      <c r="A30" s="5" t="s">
        <v>131</v>
      </c>
      <c r="B30" s="21" t="n">
        <f aca="false">GD5_SoSanh!G14</f>
        <v>18322432</v>
      </c>
      <c r="C30" s="21" t="n">
        <f aca="false">GD5_SoSanh!C14</f>
        <v>271704</v>
      </c>
      <c r="D30" s="29" t="n">
        <f aca="false">$B$16*B30/100000</f>
        <v>1689.99795528691</v>
      </c>
      <c r="E30" s="30" t="s">
        <v>129</v>
      </c>
      <c r="F30" s="5" t="s">
        <v>25</v>
      </c>
      <c r="G30" s="13"/>
    </row>
    <row r="31" customFormat="false" ht="15" hidden="false" customHeight="true" outlineLevel="0" collapsed="false">
      <c r="A31" s="5" t="s">
        <v>132</v>
      </c>
      <c r="B31" s="21" t="n">
        <f aca="false">GD5_SoSanh!G15</f>
        <v>36639744</v>
      </c>
      <c r="C31" s="21" t="n">
        <f aca="false">GD5_SoSanh!C15</f>
        <v>246976</v>
      </c>
      <c r="D31" s="29" t="n">
        <f aca="false">$B$16*B31/100000</f>
        <v>3379.52365942663</v>
      </c>
      <c r="E31" s="30" t="s">
        <v>129</v>
      </c>
      <c r="F31" s="5" t="s">
        <v>31</v>
      </c>
      <c r="G31" s="13" t="s">
        <v>133</v>
      </c>
    </row>
    <row r="32" customFormat="false" ht="15" hidden="false" customHeight="true" outlineLevel="0" collapsed="false">
      <c r="A32" s="5" t="s">
        <v>134</v>
      </c>
      <c r="B32" s="21" t="n">
        <f aca="false">GD5_SoSanh!G16</f>
        <v>73274368</v>
      </c>
      <c r="C32" s="21" t="n">
        <f aca="false">GD5_SoSanh!C16</f>
        <v>228006</v>
      </c>
      <c r="D32" s="29" t="n">
        <f aca="false">$B$16*B32/100000</f>
        <v>6758.57506770609</v>
      </c>
      <c r="E32" s="30" t="s">
        <v>129</v>
      </c>
      <c r="F32" s="5" t="s">
        <v>31</v>
      </c>
      <c r="G32" s="13" t="s">
        <v>133</v>
      </c>
    </row>
    <row r="33" customFormat="false" ht="15" hidden="false" customHeight="true" outlineLevel="0" collapsed="false">
      <c r="A33" s="4" t="s">
        <v>135</v>
      </c>
      <c r="B33" s="21" t="n">
        <f aca="false">B11</f>
        <v>146543616</v>
      </c>
      <c r="C33" s="21" t="n">
        <f aca="false">B5</f>
        <v>213691</v>
      </c>
      <c r="D33" s="29" t="n">
        <f aca="false">B8</f>
        <v>13516.677884265</v>
      </c>
      <c r="E33" s="31" t="s">
        <v>136</v>
      </c>
      <c r="F33" s="5" t="s">
        <v>18</v>
      </c>
      <c r="G33" s="13"/>
    </row>
    <row r="34" customFormat="false" ht="15" hidden="false" customHeight="true" outlineLevel="0" collapsed="false">
      <c r="A34" s="5" t="s">
        <v>137</v>
      </c>
      <c r="B34" s="21" t="n">
        <f aca="false">GD5_SoSanh!G25</f>
        <v>24869888</v>
      </c>
      <c r="C34" s="21" t="n">
        <f aca="false">GD5_SoSanh!C25</f>
        <v>257940</v>
      </c>
      <c r="D34" s="29" t="n">
        <f aca="false">$B$16*B34/100000</f>
        <v>2293.9127222966</v>
      </c>
      <c r="E34" s="30" t="s">
        <v>129</v>
      </c>
      <c r="F34" s="5" t="s">
        <v>31</v>
      </c>
      <c r="G34" s="13" t="s">
        <v>138</v>
      </c>
    </row>
    <row r="35" customFormat="false" ht="15" hidden="false" customHeight="true" outlineLevel="0" collapsed="false">
      <c r="A35" s="5" t="s">
        <v>139</v>
      </c>
      <c r="B35" s="21" t="n">
        <f aca="false">GD5_SoSanh!G26</f>
        <v>12372992</v>
      </c>
      <c r="C35" s="21" t="n">
        <f aca="false">GD5_SoSanh!C26</f>
        <v>284591</v>
      </c>
      <c r="D35" s="29" t="n">
        <f aca="false">$B$16*B35/100000</f>
        <v>1141.24212226746</v>
      </c>
      <c r="E35" s="30" t="s">
        <v>129</v>
      </c>
      <c r="F35" s="5" t="s">
        <v>25</v>
      </c>
      <c r="G35" s="13"/>
    </row>
    <row r="36" customFormat="false" ht="15" hidden="false" customHeight="true" outlineLevel="0" collapsed="false">
      <c r="A36" s="4" t="s">
        <v>140</v>
      </c>
      <c r="B36" s="21" t="n">
        <f aca="false">C11</f>
        <v>117609472</v>
      </c>
      <c r="C36" s="21" t="n">
        <f aca="false">C5</f>
        <v>216534</v>
      </c>
      <c r="D36" s="29" t="n">
        <f aca="false">C8</f>
        <v>10833.343960682</v>
      </c>
      <c r="E36" s="31" t="s">
        <v>136</v>
      </c>
      <c r="F36" s="5" t="s">
        <v>18</v>
      </c>
      <c r="G36" s="13"/>
    </row>
    <row r="37" customFormat="false" ht="15" hidden="false" customHeight="true" outlineLevel="0" collapsed="false">
      <c r="A37" s="5" t="s">
        <v>141</v>
      </c>
      <c r="B37" s="21" t="n">
        <f aca="false">GD5_SoSanh!G23</f>
        <v>24636416</v>
      </c>
      <c r="C37" s="21" t="n">
        <f aca="false">GD5_SoSanh!C23</f>
        <v>258127</v>
      </c>
      <c r="D37" s="29" t="n">
        <f aca="false">$B$16*B37/100000</f>
        <v>2272.37806998534</v>
      </c>
      <c r="E37" s="30" t="s">
        <v>129</v>
      </c>
      <c r="F37" s="5" t="s">
        <v>25</v>
      </c>
      <c r="G37" s="13"/>
    </row>
    <row r="38" customFormat="false" ht="15" hidden="false" customHeight="true" outlineLevel="0" collapsed="false">
      <c r="A38" s="5" t="s">
        <v>142</v>
      </c>
      <c r="B38" s="21" t="n">
        <f aca="false">GD5_SoSanh!G24</f>
        <v>11451392</v>
      </c>
      <c r="C38" s="21" t="n">
        <f aca="false">GD5_SoSanh!C24</f>
        <v>288012</v>
      </c>
      <c r="D38" s="29" t="n">
        <f aca="false">$B$16*B38/100000</f>
        <v>1056.23691577564</v>
      </c>
      <c r="E38" s="30" t="s">
        <v>129</v>
      </c>
      <c r="F38" s="5" t="s">
        <v>20</v>
      </c>
      <c r="G38" s="13"/>
    </row>
    <row r="40" customFormat="false" ht="15" hidden="false" customHeight="true" outlineLevel="0" collapsed="false">
      <c r="A40" s="4" t="s">
        <v>143</v>
      </c>
      <c r="D40" s="21" t="n">
        <f aca="false">SUMIF(E29:E38,"CHƯA ĐO",D29:D38)</f>
        <v>19436.9127155028</v>
      </c>
    </row>
    <row r="41" customFormat="false" ht="15" hidden="false" customHeight="true" outlineLevel="0" collapsed="false">
      <c r="A41" s="4" t="s">
        <v>144</v>
      </c>
      <c r="D41" s="21" t="n">
        <f aca="false">SUMIFS(D29:D38,E29:E38,"CHƯA ĐO",F29:F38,"Cao")</f>
        <v>12432.0114494293</v>
      </c>
      <c r="G41" s="13" t="s">
        <v>145</v>
      </c>
    </row>
    <row r="43" customFormat="false" ht="15" hidden="false" customHeight="true" outlineLevel="0" collapsed="false">
      <c r="A43" s="17" t="s">
        <v>146</v>
      </c>
    </row>
    <row r="44" customFormat="false" ht="15" hidden="false" customHeight="true" outlineLevel="0" collapsed="false">
      <c r="A44" s="4" t="s">
        <v>147</v>
      </c>
      <c r="C44" s="21" t="n">
        <f aca="false">C32+(B36-B32)/(B33-B32)*(C33-C32)</f>
        <v>219344.016547406</v>
      </c>
    </row>
    <row r="45" customFormat="false" ht="15" hidden="false" customHeight="true" outlineLevel="0" collapsed="false">
      <c r="A45" s="4" t="s">
        <v>148</v>
      </c>
      <c r="C45" s="21" t="n">
        <f aca="false">C36</f>
        <v>216534</v>
      </c>
    </row>
    <row r="46" customFormat="false" ht="15" hidden="false" customHeight="true" outlineLevel="0" collapsed="false">
      <c r="A46" s="4" t="s">
        <v>149</v>
      </c>
      <c r="C46" s="20" t="n">
        <f aca="false">C45/C44-1</f>
        <v>-0.0128110016021283</v>
      </c>
    </row>
    <row r="48" customFormat="false" ht="27.75" hidden="false" customHeight="true" outlineLevel="0" collapsed="false">
      <c r="A48" s="32" t="s">
        <v>150</v>
      </c>
      <c r="B48" s="32"/>
      <c r="C48" s="32"/>
      <c r="D48" s="32"/>
      <c r="E48" s="32"/>
      <c r="F48" s="32"/>
      <c r="G48" s="32"/>
    </row>
  </sheetData>
  <mergeCells count="1">
    <mergeCell ref="A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12" activePane="bottomLeft" state="frozen"/>
      <selection pane="topLeft" activeCell="A1" activeCellId="0" sqref="A1"/>
      <selection pane="bottomLeft" activeCell="D13" activeCellId="0" sqref="D1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8"/>
    <col collapsed="false" customWidth="true" hidden="false" outlineLevel="0" max="3" min="3" style="1" width="36"/>
    <col collapsed="false" customWidth="true" hidden="false" outlineLevel="0" max="4" min="4" style="1" width="64"/>
    <col collapsed="false" customWidth="true" hidden="false" outlineLevel="0" max="5" min="5" style="1" width="22"/>
  </cols>
  <sheetData>
    <row r="1" customFormat="false" ht="18" hidden="false" customHeight="true" outlineLevel="0" collapsed="false">
      <c r="A1" s="33" t="s">
        <v>151</v>
      </c>
    </row>
    <row r="2" customFormat="false" ht="15" hidden="false" customHeight="true" outlineLevel="0" collapsed="false">
      <c r="A2" s="34" t="s">
        <v>152</v>
      </c>
    </row>
    <row r="4" customFormat="false" ht="15" hidden="false" customHeight="true" outlineLevel="0" collapsed="false">
      <c r="A4" s="35" t="s">
        <v>153</v>
      </c>
    </row>
    <row r="5" customFormat="false" ht="48" hidden="false" customHeight="true" outlineLevel="0" collapsed="false">
      <c r="A5" s="18" t="s">
        <v>154</v>
      </c>
      <c r="B5" s="18"/>
      <c r="C5" s="18"/>
      <c r="D5" s="18"/>
      <c r="E5" s="18"/>
    </row>
    <row r="7" customFormat="false" ht="43.5" hidden="false" customHeight="true" outlineLevel="0" collapsed="false">
      <c r="A7" s="36" t="s">
        <v>7</v>
      </c>
      <c r="B7" s="36" t="s">
        <v>155</v>
      </c>
      <c r="C7" s="36" t="s">
        <v>156</v>
      </c>
      <c r="D7" s="36" t="s">
        <v>157</v>
      </c>
      <c r="E7" s="36" t="s">
        <v>158</v>
      </c>
    </row>
    <row r="8" customFormat="false" ht="63.75" hidden="false" customHeight="true" outlineLevel="0" collapsed="false">
      <c r="A8" s="37" t="n">
        <v>1</v>
      </c>
      <c r="B8" s="38" t="s">
        <v>159</v>
      </c>
      <c r="C8" s="38" t="s">
        <v>160</v>
      </c>
      <c r="D8" s="38" t="s">
        <v>161</v>
      </c>
      <c r="E8" s="38" t="s">
        <v>162</v>
      </c>
    </row>
    <row r="9" customFormat="false" ht="63.75" hidden="false" customHeight="true" outlineLevel="0" collapsed="false">
      <c r="A9" s="37" t="n">
        <v>2</v>
      </c>
      <c r="B9" s="38" t="s">
        <v>163</v>
      </c>
      <c r="C9" s="38" t="s">
        <v>164</v>
      </c>
      <c r="D9" s="38" t="s">
        <v>165</v>
      </c>
      <c r="E9" s="38" t="s">
        <v>162</v>
      </c>
    </row>
    <row r="10" customFormat="false" ht="63.75" hidden="false" customHeight="true" outlineLevel="0" collapsed="false">
      <c r="A10" s="37" t="n">
        <v>3</v>
      </c>
      <c r="B10" s="38" t="s">
        <v>166</v>
      </c>
      <c r="C10" s="38" t="s">
        <v>167</v>
      </c>
      <c r="D10" s="38" t="s">
        <v>168</v>
      </c>
      <c r="E10" s="38" t="s">
        <v>162</v>
      </c>
    </row>
    <row r="11" customFormat="false" ht="63.75" hidden="false" customHeight="true" outlineLevel="0" collapsed="false">
      <c r="A11" s="37" t="n">
        <v>4</v>
      </c>
      <c r="B11" s="38" t="s">
        <v>169</v>
      </c>
      <c r="C11" s="39" t="s">
        <v>170</v>
      </c>
      <c r="D11" s="38" t="s">
        <v>171</v>
      </c>
      <c r="E11" s="40" t="s">
        <v>172</v>
      </c>
    </row>
    <row r="12" customFormat="false" ht="63.75" hidden="false" customHeight="true" outlineLevel="0" collapsed="false">
      <c r="A12" s="37" t="n">
        <v>5</v>
      </c>
      <c r="B12" s="38" t="s">
        <v>173</v>
      </c>
      <c r="C12" s="38" t="s">
        <v>174</v>
      </c>
      <c r="D12" s="38" t="s">
        <v>175</v>
      </c>
      <c r="E12" s="38" t="s">
        <v>176</v>
      </c>
    </row>
    <row r="13" customFormat="false" ht="63.75" hidden="false" customHeight="true" outlineLevel="0" collapsed="false">
      <c r="A13" s="37" t="n">
        <v>6</v>
      </c>
      <c r="B13" s="38" t="s">
        <v>177</v>
      </c>
      <c r="C13" s="38" t="s">
        <v>178</v>
      </c>
      <c r="D13" s="38" t="s">
        <v>179</v>
      </c>
      <c r="E13" s="38" t="s">
        <v>180</v>
      </c>
    </row>
    <row r="14" customFormat="false" ht="63.75" hidden="false" customHeight="true" outlineLevel="0" collapsed="false">
      <c r="A14" s="37" t="n">
        <v>7</v>
      </c>
      <c r="B14" s="38" t="s">
        <v>181</v>
      </c>
      <c r="C14" s="38" t="s">
        <v>182</v>
      </c>
      <c r="D14" s="38" t="s">
        <v>183</v>
      </c>
      <c r="E14" s="38" t="s">
        <v>162</v>
      </c>
    </row>
    <row r="15" customFormat="false" ht="63.75" hidden="false" customHeight="true" outlineLevel="0" collapsed="false">
      <c r="A15" s="37" t="n">
        <v>8</v>
      </c>
      <c r="B15" s="38" t="s">
        <v>184</v>
      </c>
      <c r="C15" s="38" t="s">
        <v>185</v>
      </c>
      <c r="D15" s="38" t="s">
        <v>186</v>
      </c>
      <c r="E15" s="38" t="s">
        <v>162</v>
      </c>
    </row>
    <row r="16" customFormat="false" ht="63.75" hidden="false" customHeight="true" outlineLevel="0" collapsed="false">
      <c r="A16" s="37" t="n">
        <v>9</v>
      </c>
      <c r="B16" s="38" t="s">
        <v>187</v>
      </c>
      <c r="C16" s="38" t="s">
        <v>188</v>
      </c>
      <c r="D16" s="38" t="s">
        <v>189</v>
      </c>
      <c r="E16" s="38" t="s">
        <v>190</v>
      </c>
    </row>
    <row r="17" customFormat="false" ht="63.75" hidden="false" customHeight="true" outlineLevel="0" collapsed="false">
      <c r="A17" s="37" t="n">
        <v>10</v>
      </c>
      <c r="B17" s="38" t="s">
        <v>191</v>
      </c>
      <c r="C17" s="38" t="s">
        <v>192</v>
      </c>
      <c r="D17" s="38" t="s">
        <v>193</v>
      </c>
      <c r="E17" s="38" t="s">
        <v>194</v>
      </c>
    </row>
  </sheetData>
  <mergeCells count="1"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N19" activeCellId="0" sqref="N1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8.29"/>
    <col collapsed="false" customWidth="true" hidden="false" outlineLevel="0" max="2" min="2" style="1" width="9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false" outlineLevel="0" max="9" min="6" style="1" width="13"/>
    <col collapsed="false" customWidth="true" hidden="false" outlineLevel="0" max="10" min="10" style="1" width="9"/>
    <col collapsed="false" customWidth="true" hidden="false" outlineLevel="0" max="12" min="11" style="1" width="11"/>
    <col collapsed="false" customWidth="true" hidden="false" outlineLevel="0" max="13" min="13" style="1" width="13"/>
    <col collapsed="false" customWidth="true" hidden="false" outlineLevel="0" max="14" min="14" style="1" width="9"/>
    <col collapsed="false" customWidth="true" hidden="false" outlineLevel="0" max="15" min="15" style="1" width="13"/>
    <col collapsed="false" customWidth="true" hidden="false" outlineLevel="0" max="16" min="16" style="1" width="48"/>
  </cols>
  <sheetData>
    <row r="1" customFormat="false" ht="18" hidden="false" customHeight="true" outlineLevel="0" collapsed="false">
      <c r="A1" s="33" t="s">
        <v>195</v>
      </c>
    </row>
    <row r="2" customFormat="false" ht="15" hidden="false" customHeight="true" outlineLevel="0" collapsed="false">
      <c r="A2" s="34" t="s">
        <v>196</v>
      </c>
    </row>
    <row r="3" customFormat="false" ht="15" hidden="false" customHeight="true" outlineLevel="0" collapsed="false">
      <c r="A3" s="41" t="s">
        <v>197</v>
      </c>
      <c r="B3" s="42" t="n">
        <v>1000000</v>
      </c>
    </row>
    <row r="4" customFormat="false" ht="15" hidden="false" customHeight="true" outlineLevel="0" collapsed="false">
      <c r="A4" s="41" t="s">
        <v>198</v>
      </c>
      <c r="B4" s="42" t="n">
        <v>995768</v>
      </c>
    </row>
    <row r="5" customFormat="false" ht="15" hidden="false" customHeight="true" outlineLevel="0" collapsed="false">
      <c r="A5" s="41" t="s">
        <v>199</v>
      </c>
      <c r="B5" s="42" t="n">
        <v>286273</v>
      </c>
    </row>
    <row r="7" customFormat="false" ht="43.5" hidden="false" customHeight="true" outlineLevel="0" collapsed="false">
      <c r="A7" s="36" t="s">
        <v>200</v>
      </c>
      <c r="B7" s="36" t="s">
        <v>201</v>
      </c>
      <c r="C7" s="36" t="s">
        <v>202</v>
      </c>
      <c r="D7" s="36" t="s">
        <v>203</v>
      </c>
      <c r="E7" s="36" t="s">
        <v>204</v>
      </c>
      <c r="F7" s="36" t="s">
        <v>205</v>
      </c>
      <c r="G7" s="36" t="s">
        <v>98</v>
      </c>
      <c r="H7" s="36" t="s">
        <v>100</v>
      </c>
      <c r="I7" s="36" t="s">
        <v>206</v>
      </c>
      <c r="J7" s="36" t="s">
        <v>207</v>
      </c>
      <c r="K7" s="36" t="s">
        <v>208</v>
      </c>
      <c r="L7" s="36" t="s">
        <v>209</v>
      </c>
      <c r="M7" s="36" t="s">
        <v>210</v>
      </c>
      <c r="N7" s="36" t="s">
        <v>211</v>
      </c>
      <c r="O7" s="36" t="s">
        <v>212</v>
      </c>
      <c r="P7" s="36" t="s">
        <v>97</v>
      </c>
    </row>
    <row r="8" customFormat="false" ht="15" hidden="false" customHeight="true" outlineLevel="0" collapsed="false">
      <c r="A8" s="41" t="s">
        <v>213</v>
      </c>
      <c r="B8" s="43" t="s">
        <v>214</v>
      </c>
      <c r="C8" s="38" t="s">
        <v>215</v>
      </c>
      <c r="D8" s="37" t="s">
        <v>214</v>
      </c>
      <c r="E8" s="37" t="s">
        <v>214</v>
      </c>
      <c r="F8" s="43"/>
      <c r="G8" s="42" t="n">
        <v>355808</v>
      </c>
      <c r="H8" s="44" t="n">
        <f aca="false">$B$3/G8</f>
        <v>2.81050454177534</v>
      </c>
      <c r="I8" s="45" t="n">
        <f aca="false">G8/$B$3</f>
        <v>0.355808</v>
      </c>
      <c r="J8" s="46" t="n">
        <f aca="false">G8*8/$B$4</f>
        <v>2.85856143198014</v>
      </c>
      <c r="K8" s="47" t="n">
        <v>0.0696</v>
      </c>
      <c r="L8" s="47" t="n">
        <v>0.0064</v>
      </c>
      <c r="M8" s="37" t="s">
        <v>214</v>
      </c>
      <c r="N8" s="37" t="s">
        <v>216</v>
      </c>
      <c r="O8" s="48" t="n">
        <f aca="false">1-G8/$G$9</f>
        <v>-0.264766833852902</v>
      </c>
      <c r="P8" s="38" t="s">
        <v>27</v>
      </c>
    </row>
    <row r="9" customFormat="false" ht="15" hidden="false" customHeight="true" outlineLevel="0" collapsed="false">
      <c r="A9" s="41" t="s">
        <v>217</v>
      </c>
      <c r="B9" s="43" t="s">
        <v>214</v>
      </c>
      <c r="C9" s="38" t="s">
        <v>218</v>
      </c>
      <c r="D9" s="37" t="s">
        <v>214</v>
      </c>
      <c r="E9" s="37" t="s">
        <v>214</v>
      </c>
      <c r="F9" s="43"/>
      <c r="G9" s="42" t="n">
        <v>281323</v>
      </c>
      <c r="H9" s="44" t="n">
        <f aca="false">$B$3/G9</f>
        <v>3.5546329308304</v>
      </c>
      <c r="I9" s="45" t="n">
        <f aca="false">G9/$B$3</f>
        <v>0.281323</v>
      </c>
      <c r="J9" s="46" t="n">
        <f aca="false">G9*8/$B$4</f>
        <v>2.26014895035791</v>
      </c>
      <c r="K9" s="47" t="n">
        <v>0.0951</v>
      </c>
      <c r="L9" s="47" t="n">
        <v>0.0408</v>
      </c>
      <c r="M9" s="37" t="s">
        <v>214</v>
      </c>
      <c r="N9" s="37" t="s">
        <v>216</v>
      </c>
      <c r="O9" s="48" t="n">
        <f aca="false">1-G9/$G$9</f>
        <v>0</v>
      </c>
      <c r="P9" s="38" t="s">
        <v>27</v>
      </c>
    </row>
    <row r="10" customFormat="false" ht="25.5" hidden="false" customHeight="true" outlineLevel="0" collapsed="false">
      <c r="A10" s="41" t="s">
        <v>219</v>
      </c>
      <c r="B10" s="43" t="s">
        <v>220</v>
      </c>
      <c r="C10" s="38" t="s">
        <v>221</v>
      </c>
      <c r="D10" s="49" t="n">
        <v>32</v>
      </c>
      <c r="E10" s="49" t="n">
        <v>1</v>
      </c>
      <c r="F10" s="42" t="n">
        <v>1494873</v>
      </c>
      <c r="G10" s="50" t="n">
        <f aca="false">ROUNDUP(F10/8,0)</f>
        <v>186860</v>
      </c>
      <c r="H10" s="44" t="n">
        <f aca="false">$B$3/G10</f>
        <v>5.3516001284384</v>
      </c>
      <c r="I10" s="45" t="n">
        <f aca="false">G10/$B$3</f>
        <v>0.18686</v>
      </c>
      <c r="J10" s="46" t="n">
        <f aca="false">G10*8/$B$4</f>
        <v>1.50123321898273</v>
      </c>
      <c r="K10" s="47" t="n">
        <v>2905.93</v>
      </c>
      <c r="L10" s="47" t="n">
        <v>2851.32</v>
      </c>
      <c r="M10" s="47" t="n">
        <v>995.75</v>
      </c>
      <c r="N10" s="37" t="s">
        <v>216</v>
      </c>
      <c r="O10" s="48" t="n">
        <f aca="false">1-G10/$G$9</f>
        <v>0.335781290545032</v>
      </c>
      <c r="P10" s="38" t="s">
        <v>222</v>
      </c>
    </row>
    <row r="11" customFormat="false" ht="25.5" hidden="false" customHeight="true" outlineLevel="0" collapsed="false">
      <c r="A11" s="41" t="s">
        <v>223</v>
      </c>
      <c r="B11" s="43" t="s">
        <v>220</v>
      </c>
      <c r="C11" s="38" t="s">
        <v>224</v>
      </c>
      <c r="D11" s="49" t="n">
        <v>32</v>
      </c>
      <c r="E11" s="49" t="n">
        <v>1</v>
      </c>
      <c r="F11" s="43"/>
      <c r="G11" s="42" t="n">
        <v>293093</v>
      </c>
      <c r="H11" s="44" t="n">
        <f aca="false">$B$3/G11</f>
        <v>3.41188632959504</v>
      </c>
      <c r="I11" s="45" t="n">
        <f aca="false">G11/$B$3</f>
        <v>0.293093</v>
      </c>
      <c r="J11" s="46" t="n">
        <f aca="false">G11*8/$B$4</f>
        <v>2.35470912903407</v>
      </c>
      <c r="K11" s="47" t="n">
        <v>2740.09</v>
      </c>
      <c r="L11" s="47" t="n">
        <v>2761.86</v>
      </c>
      <c r="M11" s="47" t="n">
        <v>993.43</v>
      </c>
      <c r="N11" s="37" t="s">
        <v>216</v>
      </c>
      <c r="O11" s="48" t="n">
        <f aca="false">1-G11/$G$9</f>
        <v>-0.0418380295958738</v>
      </c>
      <c r="P11" s="38" t="s">
        <v>225</v>
      </c>
    </row>
    <row r="12" customFormat="false" ht="25.5" hidden="false" customHeight="true" outlineLevel="0" collapsed="false">
      <c r="A12" s="41" t="s">
        <v>223</v>
      </c>
      <c r="B12" s="43" t="s">
        <v>220</v>
      </c>
      <c r="C12" s="38" t="s">
        <v>224</v>
      </c>
      <c r="D12" s="49" t="n">
        <v>32</v>
      </c>
      <c r="E12" s="49" t="n">
        <v>64</v>
      </c>
      <c r="F12" s="43"/>
      <c r="G12" s="42" t="n">
        <v>293027</v>
      </c>
      <c r="H12" s="44" t="n">
        <f aca="false">$B$3/G12</f>
        <v>3.41265480655366</v>
      </c>
      <c r="I12" s="45" t="n">
        <f aca="false">G12/$B$3</f>
        <v>0.293027</v>
      </c>
      <c r="J12" s="46" t="n">
        <f aca="false">G12*8/$B$4</f>
        <v>2.3541788850415</v>
      </c>
      <c r="K12" s="47" t="n">
        <v>61.62886</v>
      </c>
      <c r="L12" s="51" t="s">
        <v>129</v>
      </c>
      <c r="M12" s="51" t="s">
        <v>129</v>
      </c>
      <c r="N12" s="37" t="s">
        <v>216</v>
      </c>
      <c r="O12" s="48" t="n">
        <f aca="false">1-G12/$G$9</f>
        <v>-0.041603423822439</v>
      </c>
      <c r="P12" s="38" t="s">
        <v>226</v>
      </c>
    </row>
    <row r="15" customFormat="false" ht="15" hidden="false" customHeight="true" outlineLevel="0" collapsed="false">
      <c r="A15" s="52" t="s">
        <v>227</v>
      </c>
    </row>
    <row r="16" customFormat="false" ht="15" hidden="false" customHeight="true" outlineLevel="0" collapsed="false">
      <c r="A16" s="53" t="s">
        <v>228</v>
      </c>
      <c r="B16" s="44" t="n">
        <f aca="false">H10/H8</f>
        <v>1.90414213849941</v>
      </c>
    </row>
    <row r="17" customFormat="false" ht="15" hidden="false" customHeight="true" outlineLevel="0" collapsed="false">
      <c r="A17" s="53" t="s">
        <v>229</v>
      </c>
      <c r="B17" s="44" t="n">
        <f aca="false">H10/H9</f>
        <v>1.50552820293268</v>
      </c>
    </row>
    <row r="18" customFormat="false" ht="15" hidden="false" customHeight="true" outlineLevel="0" collapsed="false">
      <c r="A18" s="53" t="s">
        <v>230</v>
      </c>
      <c r="B18" s="44" t="n">
        <f aca="false">H11/H9</f>
        <v>0.959842097900666</v>
      </c>
    </row>
    <row r="19" customFormat="false" ht="25.5" hidden="false" customHeight="true" outlineLevel="0" collapsed="false">
      <c r="A19" s="53" t="s">
        <v>231</v>
      </c>
      <c r="B19" s="54" t="n">
        <f aca="false">K11/K12</f>
        <v>44.4611501819115</v>
      </c>
    </row>
    <row r="20" customFormat="false" ht="25.5" hidden="false" customHeight="true" outlineLevel="0" collapsed="false">
      <c r="A20" s="53" t="s">
        <v>232</v>
      </c>
      <c r="B20" s="50" t="n">
        <f aca="false">G11-G12</f>
        <v>66</v>
      </c>
    </row>
    <row r="22" customFormat="false" ht="30" hidden="false" customHeight="true" outlineLevel="0" collapsed="false">
      <c r="A22" s="32" t="s">
        <v>233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customFormat="false" ht="30" hidden="false" customHeight="true" outlineLevel="0" collapsed="false">
      <c r="A23" s="32" t="s">
        <v>234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</row>
    <row r="24" customFormat="false" ht="30" hidden="false" customHeight="true" outlineLevel="0" collapsed="false">
      <c r="A24" s="32" t="s">
        <v>235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</sheetData>
  <mergeCells count="3">
    <mergeCell ref="A22:P22"/>
    <mergeCell ref="A23:P23"/>
    <mergeCell ref="A24:P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L19" activeCellId="0" sqref="L1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5"/>
    <col collapsed="false" customWidth="true" hidden="false" outlineLevel="0" max="5" min="4" style="1" width="14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11" min="9" style="1" width="13"/>
    <col collapsed="false" customWidth="true" hidden="false" outlineLevel="0" max="12" min="12" style="1" width="17"/>
    <col collapsed="false" customWidth="true" hidden="false" outlineLevel="0" max="13" min="13" style="1" width="10"/>
  </cols>
  <sheetData>
    <row r="1" customFormat="false" ht="18" hidden="false" customHeight="true" outlineLevel="0" collapsed="false">
      <c r="A1" s="33" t="s">
        <v>236</v>
      </c>
    </row>
    <row r="2" customFormat="false" ht="15" hidden="false" customHeight="true" outlineLevel="0" collapsed="false">
      <c r="A2" s="34" t="s">
        <v>237</v>
      </c>
    </row>
    <row r="3" customFormat="false" ht="15" hidden="false" customHeight="true" outlineLevel="0" collapsed="false">
      <c r="A3" s="41" t="s">
        <v>238</v>
      </c>
      <c r="B3" s="55" t="n">
        <f aca="false">GD2_Baseline!B3</f>
        <v>1000000</v>
      </c>
    </row>
    <row r="4" customFormat="false" ht="15" hidden="false" customHeight="true" outlineLevel="0" collapsed="false">
      <c r="A4" s="41" t="s">
        <v>239</v>
      </c>
      <c r="B4" s="55" t="n">
        <f aca="false">GD2_Baseline!B4</f>
        <v>995768</v>
      </c>
    </row>
    <row r="6" customFormat="false" ht="15" hidden="false" customHeight="true" outlineLevel="0" collapsed="false">
      <c r="A6" s="52" t="s">
        <v>240</v>
      </c>
    </row>
    <row r="7" customFormat="false" ht="43.5" hidden="false" customHeight="true" outlineLevel="0" collapsed="false">
      <c r="A7" s="36" t="s">
        <v>241</v>
      </c>
      <c r="B7" s="36" t="s">
        <v>98</v>
      </c>
      <c r="C7" s="36" t="s">
        <v>100</v>
      </c>
      <c r="D7" s="36" t="s">
        <v>242</v>
      </c>
      <c r="E7" s="36" t="s">
        <v>243</v>
      </c>
      <c r="F7" s="36" t="s">
        <v>244</v>
      </c>
      <c r="G7" s="36" t="s">
        <v>245</v>
      </c>
      <c r="H7" s="36" t="s">
        <v>246</v>
      </c>
      <c r="I7" s="36" t="s">
        <v>247</v>
      </c>
      <c r="J7" s="36" t="s">
        <v>209</v>
      </c>
      <c r="K7" s="36" t="s">
        <v>210</v>
      </c>
      <c r="L7" s="36" t="s">
        <v>248</v>
      </c>
      <c r="M7" s="36" t="s">
        <v>211</v>
      </c>
    </row>
    <row r="8" customFormat="false" ht="15" hidden="false" customHeight="true" outlineLevel="0" collapsed="false">
      <c r="A8" s="49" t="n">
        <v>32</v>
      </c>
      <c r="B8" s="42" t="n">
        <v>293027</v>
      </c>
      <c r="C8" s="44" t="n">
        <f aca="false">$B$3/B8</f>
        <v>3.41265480655366</v>
      </c>
      <c r="D8" s="45" t="n">
        <f aca="false">B8/$B$3</f>
        <v>0.293027</v>
      </c>
      <c r="E8" s="48" t="n">
        <f aca="false">C8/$C$8-1</f>
        <v>0</v>
      </c>
      <c r="F8" s="47" t="n">
        <v>61.62886</v>
      </c>
      <c r="G8" s="56" t="n">
        <f aca="false">F8/$F$8</f>
        <v>1</v>
      </c>
      <c r="H8" s="47" t="n">
        <v>60.808464</v>
      </c>
      <c r="I8" s="48" t="n">
        <f aca="false">H8/F8-1</f>
        <v>-0.0133118801808114</v>
      </c>
      <c r="J8" s="51" t="s">
        <v>129</v>
      </c>
      <c r="K8" s="51" t="s">
        <v>129</v>
      </c>
      <c r="L8" s="37" t="s">
        <v>214</v>
      </c>
      <c r="M8" s="37" t="s">
        <v>216</v>
      </c>
    </row>
    <row r="9" customFormat="false" ht="15" hidden="false" customHeight="true" outlineLevel="0" collapsed="false">
      <c r="A9" s="49" t="n">
        <v>64</v>
      </c>
      <c r="B9" s="42" t="n">
        <v>264110</v>
      </c>
      <c r="C9" s="44" t="n">
        <f aca="false">$B$3/B9</f>
        <v>3.78630116239446</v>
      </c>
      <c r="D9" s="45" t="n">
        <f aca="false">B9/$B$3</f>
        <v>0.26411</v>
      </c>
      <c r="E9" s="48" t="n">
        <f aca="false">C9/$C$8-1</f>
        <v>0.10948847071296</v>
      </c>
      <c r="F9" s="47" t="n">
        <v>67.17076</v>
      </c>
      <c r="G9" s="56" t="n">
        <f aca="false">F9/$F$8</f>
        <v>1.08992377921643</v>
      </c>
      <c r="H9" s="47" t="n">
        <v>69.091072</v>
      </c>
      <c r="I9" s="48" t="n">
        <f aca="false">H9/F9-1</f>
        <v>0.0285885108341784</v>
      </c>
      <c r="J9" s="51" t="s">
        <v>129</v>
      </c>
      <c r="K9" s="51" t="s">
        <v>129</v>
      </c>
      <c r="L9" s="50" t="n">
        <f aca="false">(B8-B9)*8/(F9-F8)</f>
        <v>41743.0845017052</v>
      </c>
      <c r="M9" s="37" t="s">
        <v>216</v>
      </c>
    </row>
    <row r="10" customFormat="false" ht="15" hidden="false" customHeight="true" outlineLevel="0" collapsed="false">
      <c r="A10" s="49" t="n">
        <v>128</v>
      </c>
      <c r="B10" s="42" t="n">
        <v>240733</v>
      </c>
      <c r="C10" s="44" t="n">
        <f aca="false">$B$3/B10</f>
        <v>4.15397972027101</v>
      </c>
      <c r="D10" s="45" t="n">
        <f aca="false">B10/$B$3</f>
        <v>0.240733</v>
      </c>
      <c r="E10" s="48" t="n">
        <f aca="false">C10/$C$8-1</f>
        <v>0.217228215491852</v>
      </c>
      <c r="F10" s="47" t="n">
        <v>82.953516</v>
      </c>
      <c r="G10" s="56" t="n">
        <f aca="false">F10/$F$8</f>
        <v>1.34601736913517</v>
      </c>
      <c r="H10" s="47" t="n">
        <v>88.830186</v>
      </c>
      <c r="I10" s="48" t="n">
        <f aca="false">H10/F10-1</f>
        <v>0.0708429284661063</v>
      </c>
      <c r="J10" s="51" t="s">
        <v>129</v>
      </c>
      <c r="K10" s="51" t="s">
        <v>129</v>
      </c>
      <c r="L10" s="50" t="n">
        <f aca="false">(B9-B10)*8/(F10-F9)</f>
        <v>11849.3880283013</v>
      </c>
      <c r="M10" s="37" t="s">
        <v>216</v>
      </c>
    </row>
    <row r="11" customFormat="false" ht="15" hidden="false" customHeight="true" outlineLevel="0" collapsed="false">
      <c r="A11" s="49" t="n">
        <v>256</v>
      </c>
      <c r="B11" s="42" t="n">
        <v>222510</v>
      </c>
      <c r="C11" s="44" t="n">
        <f aca="false">$B$3/B11</f>
        <v>4.49418003685228</v>
      </c>
      <c r="D11" s="45" t="n">
        <f aca="false">B11/$B$3</f>
        <v>0.22251</v>
      </c>
      <c r="E11" s="48" t="n">
        <f aca="false">C11/$C$8-1</f>
        <v>0.316916093658712</v>
      </c>
      <c r="F11" s="47" t="n">
        <v>114.332818</v>
      </c>
      <c r="G11" s="56" t="n">
        <f aca="false">F11/$F$8</f>
        <v>1.85518307494249</v>
      </c>
      <c r="H11" s="47" t="n">
        <v>124.829865</v>
      </c>
      <c r="I11" s="48" t="n">
        <f aca="false">H11/F11-1</f>
        <v>0.0918113205256603</v>
      </c>
      <c r="J11" s="51" t="s">
        <v>129</v>
      </c>
      <c r="K11" s="51" t="s">
        <v>129</v>
      </c>
      <c r="L11" s="50" t="n">
        <f aca="false">(B10-B11)*8/(F11-F10)</f>
        <v>4645.8649717575</v>
      </c>
      <c r="M11" s="37" t="s">
        <v>216</v>
      </c>
    </row>
    <row r="12" customFormat="false" ht="15" hidden="false" customHeight="true" outlineLevel="0" collapsed="false">
      <c r="A12" s="49" t="n">
        <v>512</v>
      </c>
      <c r="B12" s="42" t="n">
        <v>208720</v>
      </c>
      <c r="C12" s="44" t="n">
        <f aca="false">$B$3/B12</f>
        <v>4.79110770410119</v>
      </c>
      <c r="D12" s="45" t="n">
        <f aca="false">B12/$B$3</f>
        <v>0.20872</v>
      </c>
      <c r="E12" s="48" t="n">
        <f aca="false">C12/$C$8-1</f>
        <v>0.403923917209659</v>
      </c>
      <c r="F12" s="47" t="n">
        <v>178.817302</v>
      </c>
      <c r="G12" s="56" t="n">
        <f aca="false">F12/$F$8</f>
        <v>2.90151889877567</v>
      </c>
      <c r="H12" s="47" t="n">
        <v>199.04195</v>
      </c>
      <c r="I12" s="48" t="n">
        <f aca="false">H12/F12-1</f>
        <v>0.113102299239477</v>
      </c>
      <c r="J12" s="57" t="n">
        <v>13516.677884265</v>
      </c>
      <c r="K12" s="58" t="n">
        <v>768.537109375</v>
      </c>
      <c r="L12" s="50" t="n">
        <f aca="false">(B11-B12)*8/(F12-F11)</f>
        <v>1710.79914355832</v>
      </c>
      <c r="M12" s="37" t="s">
        <v>216</v>
      </c>
    </row>
    <row r="13" customFormat="false" ht="30" hidden="false" customHeight="true" outlineLevel="0" collapsed="false">
      <c r="A13" s="32" t="s">
        <v>249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</row>
    <row r="14" customFormat="false" ht="30" hidden="false" customHeight="true" outlineLevel="0" collapsed="false">
      <c r="A14" s="32" t="s">
        <v>250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</row>
    <row r="16" customFormat="false" ht="15" hidden="false" customHeight="true" outlineLevel="0" collapsed="false">
      <c r="A16" s="52" t="s">
        <v>251</v>
      </c>
    </row>
    <row r="17" customFormat="false" ht="43.5" hidden="false" customHeight="true" outlineLevel="0" collapsed="false">
      <c r="A17" s="36" t="s">
        <v>252</v>
      </c>
      <c r="B17" s="36" t="s">
        <v>253</v>
      </c>
      <c r="C17" s="36" t="s">
        <v>254</v>
      </c>
      <c r="D17" s="36" t="s">
        <v>100</v>
      </c>
      <c r="E17" s="36" t="s">
        <v>242</v>
      </c>
      <c r="F17" s="36" t="s">
        <v>207</v>
      </c>
      <c r="G17" s="36" t="s">
        <v>208</v>
      </c>
      <c r="H17" s="36" t="s">
        <v>255</v>
      </c>
      <c r="I17" s="36" t="s">
        <v>209</v>
      </c>
      <c r="J17" s="36" t="s">
        <v>256</v>
      </c>
      <c r="K17" s="36" t="s">
        <v>211</v>
      </c>
    </row>
    <row r="18" customFormat="false" ht="15" hidden="false" customHeight="true" outlineLevel="0" collapsed="false">
      <c r="A18" s="49" t="n">
        <v>32</v>
      </c>
      <c r="B18" s="42" t="n">
        <v>1494873</v>
      </c>
      <c r="C18" s="50" t="n">
        <f aca="false">ROUNDUP(B18/8,0)</f>
        <v>186860</v>
      </c>
      <c r="D18" s="44" t="n">
        <f aca="false">$B$3/C18</f>
        <v>5.3516001284384</v>
      </c>
      <c r="E18" s="45" t="n">
        <f aca="false">C18/$B$3</f>
        <v>0.18686</v>
      </c>
      <c r="F18" s="59" t="n">
        <f aca="false">B18/$B$4</f>
        <v>1.50122618923283</v>
      </c>
      <c r="G18" s="47" t="n">
        <v>2938.72</v>
      </c>
      <c r="H18" s="56" t="n">
        <f aca="false">G18/$G$18</f>
        <v>1</v>
      </c>
      <c r="I18" s="60" t="n">
        <f aca="false">GD2_Baseline!L10</f>
        <v>2851.32</v>
      </c>
      <c r="J18" s="37" t="s">
        <v>214</v>
      </c>
      <c r="K18" s="37" t="s">
        <v>216</v>
      </c>
    </row>
    <row r="19" customFormat="false" ht="15" hidden="false" customHeight="true" outlineLevel="0" collapsed="false">
      <c r="A19" s="49" t="n">
        <v>64</v>
      </c>
      <c r="B19" s="42" t="n">
        <v>1349477</v>
      </c>
      <c r="C19" s="50" t="n">
        <f aca="false">ROUNDUP(B19/8,0)</f>
        <v>168685</v>
      </c>
      <c r="D19" s="44" t="n">
        <f aca="false">$B$3/C19</f>
        <v>5.92820938435546</v>
      </c>
      <c r="E19" s="45" t="n">
        <f aca="false">C19/$B$3</f>
        <v>0.168685</v>
      </c>
      <c r="F19" s="59" t="n">
        <f aca="false">B19/$B$4</f>
        <v>1.35521225827703</v>
      </c>
      <c r="G19" s="47" t="n">
        <v>3072.81</v>
      </c>
      <c r="H19" s="56" t="n">
        <f aca="false">G19/$G$18</f>
        <v>1.04562870909784</v>
      </c>
      <c r="I19" s="51" t="s">
        <v>129</v>
      </c>
      <c r="J19" s="61" t="n">
        <f aca="false">(B18-B19)/(G19-G18)</f>
        <v>1084.3165038407</v>
      </c>
      <c r="K19" s="37" t="s">
        <v>216</v>
      </c>
    </row>
    <row r="20" customFormat="false" ht="15" hidden="false" customHeight="true" outlineLevel="0" collapsed="false">
      <c r="A20" s="49" t="n">
        <v>128</v>
      </c>
      <c r="B20" s="42" t="n">
        <v>1254847</v>
      </c>
      <c r="C20" s="50" t="n">
        <f aca="false">ROUNDUP(B20/8,0)</f>
        <v>156856</v>
      </c>
      <c r="D20" s="44" t="n">
        <f aca="false">$B$3/C20</f>
        <v>6.37527413678788</v>
      </c>
      <c r="E20" s="45" t="n">
        <f aca="false">C20/$B$3</f>
        <v>0.156856</v>
      </c>
      <c r="F20" s="59" t="n">
        <f aca="false">B20/$B$4</f>
        <v>1.26018008210748</v>
      </c>
      <c r="G20" s="47" t="n">
        <v>3504.67</v>
      </c>
      <c r="H20" s="56" t="n">
        <f aca="false">G20/$G$18</f>
        <v>1.1925838460282</v>
      </c>
      <c r="I20" s="51" t="s">
        <v>129</v>
      </c>
      <c r="J20" s="61" t="n">
        <f aca="false">(B19-B20)/(G20-G19)</f>
        <v>219.121937664984</v>
      </c>
      <c r="K20" s="37" t="s">
        <v>216</v>
      </c>
    </row>
    <row r="21" customFormat="false" ht="15" hidden="false" customHeight="true" outlineLevel="0" collapsed="false">
      <c r="A21" s="49" t="n">
        <v>256</v>
      </c>
      <c r="B21" s="42" t="n">
        <v>1164161</v>
      </c>
      <c r="C21" s="50" t="n">
        <f aca="false">ROUNDUP(B21/8,0)</f>
        <v>145521</v>
      </c>
      <c r="D21" s="44" t="n">
        <f aca="false">$B$3/C21</f>
        <v>6.87186041877117</v>
      </c>
      <c r="E21" s="45" t="n">
        <f aca="false">C21/$B$3</f>
        <v>0.145521</v>
      </c>
      <c r="F21" s="59" t="n">
        <f aca="false">B21/$B$4</f>
        <v>1.16910866788248</v>
      </c>
      <c r="G21" s="47" t="n">
        <v>6381.51</v>
      </c>
      <c r="H21" s="56" t="n">
        <f aca="false">G21/$G$18</f>
        <v>2.17152705940001</v>
      </c>
      <c r="I21" s="51" t="s">
        <v>129</v>
      </c>
      <c r="J21" s="61" t="n">
        <f aca="false">(B20-B21)/(G21-G20)</f>
        <v>31.5227819412967</v>
      </c>
      <c r="K21" s="37" t="s">
        <v>216</v>
      </c>
    </row>
    <row r="22" customFormat="false" ht="15" hidden="false" customHeight="true" outlineLevel="0" collapsed="false">
      <c r="A22" s="49" t="n">
        <v>512</v>
      </c>
      <c r="B22" s="42" t="n">
        <v>1138347</v>
      </c>
      <c r="C22" s="50" t="n">
        <f aca="false">ROUNDUP(B22/8,0)</f>
        <v>142294</v>
      </c>
      <c r="D22" s="44" t="n">
        <f aca="false">$B$3/C22</f>
        <v>7.0277032060382</v>
      </c>
      <c r="E22" s="45" t="n">
        <f aca="false">C22/$B$3</f>
        <v>0.142294</v>
      </c>
      <c r="F22" s="59" t="n">
        <f aca="false">B22/$B$4</f>
        <v>1.14318495874541</v>
      </c>
      <c r="G22" s="47" t="n">
        <v>14486.5</v>
      </c>
      <c r="H22" s="56" t="n">
        <f aca="false">G22/$G$18</f>
        <v>4.92952714106822</v>
      </c>
      <c r="I22" s="51" t="s">
        <v>129</v>
      </c>
      <c r="J22" s="61" t="n">
        <f aca="false">(B21-B22)/(G22-G21)</f>
        <v>3.18495149284577</v>
      </c>
      <c r="K22" s="37" t="s">
        <v>216</v>
      </c>
    </row>
    <row r="23" customFormat="false" ht="30" hidden="false" customHeight="true" outlineLevel="0" collapsed="false">
      <c r="A23" s="32" t="s">
        <v>257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5" customFormat="false" ht="15" hidden="false" customHeight="true" outlineLevel="0" collapsed="false">
      <c r="A25" s="52" t="s">
        <v>258</v>
      </c>
    </row>
    <row r="26" customFormat="false" ht="43.5" hidden="false" customHeight="true" outlineLevel="0" collapsed="false">
      <c r="A26" s="36" t="s">
        <v>203</v>
      </c>
      <c r="B26" s="36" t="s">
        <v>259</v>
      </c>
      <c r="C26" s="36" t="s">
        <v>260</v>
      </c>
      <c r="D26" s="36" t="s">
        <v>261</v>
      </c>
      <c r="E26" s="36" t="s">
        <v>262</v>
      </c>
      <c r="F26" s="36" t="s">
        <v>263</v>
      </c>
      <c r="G26" s="36" t="s">
        <v>264</v>
      </c>
    </row>
    <row r="27" customFormat="false" ht="15" hidden="false" customHeight="true" outlineLevel="0" collapsed="false">
      <c r="A27" s="37" t="n">
        <f aca="false">A8</f>
        <v>32</v>
      </c>
      <c r="B27" s="44" t="n">
        <f aca="false">C8</f>
        <v>3.41265480655366</v>
      </c>
      <c r="C27" s="44" t="n">
        <f aca="false">D18</f>
        <v>5.3516001284384</v>
      </c>
      <c r="D27" s="56" t="n">
        <f aca="false">C27/B27</f>
        <v>1.56816333083592</v>
      </c>
      <c r="E27" s="62" t="n">
        <f aca="false">F8</f>
        <v>61.62886</v>
      </c>
      <c r="F27" s="62" t="n">
        <f aca="false">G18</f>
        <v>2938.72</v>
      </c>
      <c r="G27" s="63" t="n">
        <f aca="false">F27/E27</f>
        <v>47.6841531710955</v>
      </c>
    </row>
    <row r="28" customFormat="false" ht="15" hidden="false" customHeight="true" outlineLevel="0" collapsed="false">
      <c r="A28" s="37" t="n">
        <f aca="false">A9</f>
        <v>64</v>
      </c>
      <c r="B28" s="44" t="n">
        <f aca="false">C9</f>
        <v>3.78630116239446</v>
      </c>
      <c r="C28" s="44" t="n">
        <f aca="false">D19</f>
        <v>5.92820938435546</v>
      </c>
      <c r="D28" s="56" t="n">
        <f aca="false">C28/B28</f>
        <v>1.56569938050212</v>
      </c>
      <c r="E28" s="62" t="n">
        <f aca="false">F9</f>
        <v>67.17076</v>
      </c>
      <c r="F28" s="62" t="n">
        <f aca="false">G19</f>
        <v>3072.81</v>
      </c>
      <c r="G28" s="63" t="n">
        <f aca="false">F28/E28</f>
        <v>45.7462443479871</v>
      </c>
    </row>
    <row r="29" customFormat="false" ht="15" hidden="false" customHeight="true" outlineLevel="0" collapsed="false">
      <c r="A29" s="37" t="n">
        <f aca="false">A10</f>
        <v>128</v>
      </c>
      <c r="B29" s="44" t="n">
        <f aca="false">C10</f>
        <v>4.15397972027101</v>
      </c>
      <c r="C29" s="44" t="n">
        <f aca="false">D20</f>
        <v>6.37527413678788</v>
      </c>
      <c r="D29" s="56" t="n">
        <f aca="false">C29/B29</f>
        <v>1.53473886877136</v>
      </c>
      <c r="E29" s="62" t="n">
        <f aca="false">F10</f>
        <v>82.953516</v>
      </c>
      <c r="F29" s="62" t="n">
        <f aca="false">G20</f>
        <v>3504.67</v>
      </c>
      <c r="G29" s="63" t="n">
        <f aca="false">F29/E29</f>
        <v>42.2486010116798</v>
      </c>
    </row>
    <row r="30" customFormat="false" ht="15" hidden="false" customHeight="true" outlineLevel="0" collapsed="false">
      <c r="A30" s="37" t="n">
        <f aca="false">A11</f>
        <v>256</v>
      </c>
      <c r="B30" s="44" t="n">
        <f aca="false">C11</f>
        <v>4.49418003685228</v>
      </c>
      <c r="C30" s="44" t="n">
        <f aca="false">D21</f>
        <v>6.87186041877117</v>
      </c>
      <c r="D30" s="56" t="n">
        <f aca="false">C30/B30</f>
        <v>1.52905766178077</v>
      </c>
      <c r="E30" s="62" t="n">
        <f aca="false">F11</f>
        <v>114.332818</v>
      </c>
      <c r="F30" s="62" t="n">
        <f aca="false">G21</f>
        <v>6381.51</v>
      </c>
      <c r="G30" s="63" t="n">
        <f aca="false">F30/E30</f>
        <v>55.8152078434733</v>
      </c>
    </row>
    <row r="31" customFormat="false" ht="15" hidden="false" customHeight="true" outlineLevel="0" collapsed="false">
      <c r="A31" s="37" t="n">
        <f aca="false">A12</f>
        <v>512</v>
      </c>
      <c r="B31" s="44" t="n">
        <f aca="false">C12</f>
        <v>4.79110770410119</v>
      </c>
      <c r="C31" s="44" t="n">
        <f aca="false">D22</f>
        <v>7.0277032060382</v>
      </c>
      <c r="D31" s="56" t="n">
        <f aca="false">C31/B31</f>
        <v>1.46682221316429</v>
      </c>
      <c r="E31" s="62" t="n">
        <f aca="false">F12</f>
        <v>178.817302</v>
      </c>
      <c r="F31" s="62" t="n">
        <f aca="false">G22</f>
        <v>14486.5</v>
      </c>
      <c r="G31" s="63" t="n">
        <f aca="false">F31/E31</f>
        <v>81.0128541140834</v>
      </c>
    </row>
    <row r="32" customFormat="false" ht="30" hidden="false" customHeight="true" outlineLevel="0" collapsed="false">
      <c r="A32" s="32" t="s">
        <v>265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</sheetData>
  <mergeCells count="4">
    <mergeCell ref="A13:M13"/>
    <mergeCell ref="A14:M14"/>
    <mergeCell ref="A23:K23"/>
    <mergeCell ref="A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L26" activeCellId="0" sqref="L2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3" min="3" style="1" width="15"/>
    <col collapsed="false" customWidth="true" hidden="false" outlineLevel="0" max="5" min="4" style="1" width="17"/>
    <col collapsed="false" customWidth="true" hidden="false" outlineLevel="0" max="7" min="6" style="1" width="13"/>
    <col collapsed="false" customWidth="true" hidden="false" outlineLevel="0" max="8" min="8" style="1" width="16"/>
    <col collapsed="false" customWidth="true" hidden="false" outlineLevel="0" max="12" min="9" style="1" width="13"/>
    <col collapsed="false" customWidth="true" hidden="false" outlineLevel="0" max="13" min="13" style="1" width="12"/>
    <col collapsed="false" customWidth="true" hidden="false" outlineLevel="0" max="14" min="14" style="1" width="9"/>
  </cols>
  <sheetData>
    <row r="1" customFormat="false" ht="18" hidden="false" customHeight="true" outlineLevel="0" collapsed="false">
      <c r="A1" s="33" t="s">
        <v>266</v>
      </c>
    </row>
    <row r="2" customFormat="false" ht="15" hidden="false" customHeight="true" outlineLevel="0" collapsed="false">
      <c r="A2" s="34" t="s">
        <v>267</v>
      </c>
    </row>
    <row r="3" customFormat="false" ht="15" hidden="false" customHeight="true" outlineLevel="0" collapsed="false">
      <c r="A3" s="53" t="s">
        <v>238</v>
      </c>
      <c r="B3" s="55" t="n">
        <f aca="false">GD2_Baseline!B3</f>
        <v>1000000</v>
      </c>
    </row>
    <row r="4" customFormat="false" ht="15" hidden="false" customHeight="true" outlineLevel="0" collapsed="false">
      <c r="A4" s="53" t="s">
        <v>239</v>
      </c>
      <c r="B4" s="55" t="n">
        <f aca="false">GD2_Baseline!B4</f>
        <v>995768</v>
      </c>
    </row>
    <row r="5" customFormat="false" ht="25.5" hidden="false" customHeight="true" outlineLevel="0" collapsed="false">
      <c r="A5" s="53" t="s">
        <v>268</v>
      </c>
      <c r="B5" s="42" t="n">
        <v>811008</v>
      </c>
    </row>
    <row r="6" customFormat="false" ht="15" hidden="false" customHeight="true" outlineLevel="0" collapsed="false">
      <c r="A6" s="53" t="s">
        <v>269</v>
      </c>
      <c r="B6" s="64" t="n">
        <v>2</v>
      </c>
    </row>
    <row r="7" customFormat="false" ht="15" hidden="false" customHeight="true" outlineLevel="0" collapsed="false">
      <c r="A7" s="53" t="s">
        <v>270</v>
      </c>
      <c r="B7" s="64" t="n">
        <v>4</v>
      </c>
    </row>
    <row r="8" customFormat="false" ht="25.5" hidden="false" customHeight="true" outlineLevel="0" collapsed="false">
      <c r="A8" s="53" t="s">
        <v>271</v>
      </c>
      <c r="B8" s="65" t="n">
        <v>3253104</v>
      </c>
    </row>
    <row r="9" customFormat="false" ht="25.5" hidden="false" customHeight="true" outlineLevel="0" collapsed="false">
      <c r="A9" s="53" t="s">
        <v>272</v>
      </c>
      <c r="B9" s="50" t="n">
        <f aca="false">IF(ISNUMBER(B8),B8,B5*B6)</f>
        <v>3253104</v>
      </c>
    </row>
    <row r="10" customFormat="false" ht="15" hidden="false" customHeight="true" outlineLevel="0" collapsed="false">
      <c r="A10" s="53" t="s">
        <v>273</v>
      </c>
      <c r="B10" s="50" t="n">
        <f aca="false">B5*B7</f>
        <v>3244032</v>
      </c>
    </row>
    <row r="12" customFormat="false" ht="15" hidden="false" customHeight="true" outlineLevel="0" collapsed="false">
      <c r="A12" s="52" t="s">
        <v>274</v>
      </c>
    </row>
    <row r="13" customFormat="false" ht="43.5" hidden="false" customHeight="true" outlineLevel="0" collapsed="false">
      <c r="A13" s="36" t="s">
        <v>203</v>
      </c>
      <c r="B13" s="36" t="s">
        <v>275</v>
      </c>
      <c r="C13" s="36" t="s">
        <v>276</v>
      </c>
      <c r="D13" s="36" t="s">
        <v>277</v>
      </c>
      <c r="E13" s="36" t="s">
        <v>278</v>
      </c>
      <c r="F13" s="36" t="s">
        <v>279</v>
      </c>
      <c r="G13" s="36" t="s">
        <v>280</v>
      </c>
      <c r="H13" s="36" t="s">
        <v>281</v>
      </c>
      <c r="I13" s="36" t="s">
        <v>282</v>
      </c>
      <c r="J13" s="36" t="s">
        <v>283</v>
      </c>
      <c r="K13" s="36" t="s">
        <v>284</v>
      </c>
      <c r="L13" s="36" t="s">
        <v>285</v>
      </c>
      <c r="M13" s="36" t="s">
        <v>286</v>
      </c>
      <c r="N13" s="36" t="s">
        <v>211</v>
      </c>
    </row>
    <row r="14" customFormat="false" ht="15" hidden="false" customHeight="true" outlineLevel="0" collapsed="false">
      <c r="A14" s="49" t="n">
        <v>128</v>
      </c>
      <c r="B14" s="55" t="n">
        <f aca="false">GD3_FixedContext!B20</f>
        <v>1254847</v>
      </c>
      <c r="C14" s="42" t="n">
        <v>1201663</v>
      </c>
      <c r="D14" s="50" t="n">
        <f aca="false">ROUNDUP(B14/8,0)</f>
        <v>156856</v>
      </c>
      <c r="E14" s="50" t="n">
        <f aca="false">ROUNDUP(C14/8,0)</f>
        <v>150208</v>
      </c>
      <c r="F14" s="44" t="n">
        <f aca="false">$B$3/D14</f>
        <v>6.37527413678788</v>
      </c>
      <c r="G14" s="44" t="n">
        <f aca="false">$B$3/E14</f>
        <v>6.65743502343417</v>
      </c>
      <c r="H14" s="45" t="n">
        <f aca="false">1-E14/D14</f>
        <v>0.0423828224613658</v>
      </c>
      <c r="I14" s="59" t="n">
        <f aca="false">B14/$B$4</f>
        <v>1.26018008210748</v>
      </c>
      <c r="J14" s="59" t="n">
        <f aca="false">C14/$B$4</f>
        <v>1.20677005085522</v>
      </c>
      <c r="K14" s="60" t="n">
        <f aca="false">GD3_FixedContext!G20</f>
        <v>3504.67</v>
      </c>
      <c r="L14" s="47" t="n">
        <v>4973.229436</v>
      </c>
      <c r="M14" s="48" t="n">
        <f aca="false">L14/K14-1</f>
        <v>0.419029305469559</v>
      </c>
      <c r="N14" s="37" t="s">
        <v>216</v>
      </c>
    </row>
    <row r="15" customFormat="false" ht="15" hidden="false" customHeight="true" outlineLevel="0" collapsed="false">
      <c r="A15" s="49" t="n">
        <v>512</v>
      </c>
      <c r="B15" s="55" t="n">
        <f aca="false">GD3_FixedContext!B22</f>
        <v>1138347</v>
      </c>
      <c r="C15" s="42" t="n">
        <v>1086476</v>
      </c>
      <c r="D15" s="50" t="n">
        <f aca="false">ROUNDUP(B15/8,0)</f>
        <v>142294</v>
      </c>
      <c r="E15" s="50" t="n">
        <f aca="false">ROUNDUP(C15/8,0)</f>
        <v>135810</v>
      </c>
      <c r="F15" s="44" t="n">
        <f aca="false">$B$3/D15</f>
        <v>7.0277032060382</v>
      </c>
      <c r="G15" s="44" t="n">
        <f aca="false">$B$3/E15</f>
        <v>7.36322803917237</v>
      </c>
      <c r="H15" s="45" t="n">
        <f aca="false">1-E15/D15</f>
        <v>0.0455676275879517</v>
      </c>
      <c r="I15" s="59" t="n">
        <f aca="false">B15/$B$4</f>
        <v>1.14318495874541</v>
      </c>
      <c r="J15" s="59" t="n">
        <f aca="false">C15/$B$4</f>
        <v>1.09109350772469</v>
      </c>
      <c r="K15" s="60" t="n">
        <f aca="false">GD3_FixedContext!G22</f>
        <v>14486.5</v>
      </c>
      <c r="L15" s="47" t="n">
        <v>16030.614694</v>
      </c>
      <c r="M15" s="48" t="n">
        <f aca="false">L15/K15-1</f>
        <v>0.106589907431057</v>
      </c>
      <c r="N15" s="37" t="s">
        <v>216</v>
      </c>
    </row>
    <row r="16" customFormat="false" ht="30" hidden="false" customHeight="true" outlineLevel="0" collapsed="false">
      <c r="A16" s="32" t="s">
        <v>287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</row>
    <row r="17" customFormat="false" ht="30" hidden="false" customHeight="true" outlineLevel="0" collapsed="false">
      <c r="A17" s="32" t="s">
        <v>288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</row>
    <row r="19" customFormat="false" ht="15" hidden="false" customHeight="true" outlineLevel="0" collapsed="false">
      <c r="A19" s="52" t="s">
        <v>289</v>
      </c>
    </row>
    <row r="20" customFormat="false" ht="43.5" hidden="false" customHeight="true" outlineLevel="0" collapsed="false">
      <c r="A20" s="36" t="s">
        <v>203</v>
      </c>
      <c r="B20" s="36" t="s">
        <v>290</v>
      </c>
      <c r="C20" s="36" t="s">
        <v>291</v>
      </c>
      <c r="D20" s="36" t="s">
        <v>292</v>
      </c>
      <c r="E20" s="36" t="s">
        <v>293</v>
      </c>
      <c r="F20" s="36" t="s">
        <v>294</v>
      </c>
      <c r="G20" s="36" t="s">
        <v>295</v>
      </c>
      <c r="H20" s="36" t="s">
        <v>296</v>
      </c>
    </row>
    <row r="21" customFormat="false" ht="15" hidden="false" customHeight="true" outlineLevel="0" collapsed="false">
      <c r="A21" s="37" t="n">
        <f aca="false">A14</f>
        <v>128</v>
      </c>
      <c r="B21" s="50" t="n">
        <f aca="false">E14</f>
        <v>150208</v>
      </c>
      <c r="C21" s="50" t="n">
        <f aca="false">B21+$B$9</f>
        <v>3403312</v>
      </c>
      <c r="D21" s="44" t="n">
        <f aca="false">$B$3/C21</f>
        <v>0.293831420686672</v>
      </c>
      <c r="E21" s="55" t="n">
        <f aca="false">GD2_Baseline!$G$9</f>
        <v>281323</v>
      </c>
      <c r="F21" s="37" t="str">
        <f aca="false">IF(C21&lt;E21,"Tốt hơn","Kém hơn")</f>
        <v>Kém hơn</v>
      </c>
      <c r="G21" s="50" t="n">
        <f aca="false">D14-E14</f>
        <v>6648</v>
      </c>
      <c r="H21" s="50" t="n">
        <f aca="false">$B$9/G21*$B$3/1000000</f>
        <v>489.335740072202</v>
      </c>
    </row>
    <row r="22" customFormat="false" ht="15" hidden="false" customHeight="true" outlineLevel="0" collapsed="false">
      <c r="A22" s="37" t="n">
        <f aca="false">A15</f>
        <v>512</v>
      </c>
      <c r="B22" s="50" t="n">
        <f aca="false">E15</f>
        <v>135810</v>
      </c>
      <c r="C22" s="50" t="n">
        <f aca="false">B22+$B$9</f>
        <v>3388914</v>
      </c>
      <c r="D22" s="44" t="n">
        <f aca="false">$B$3/C22</f>
        <v>0.295079780720313</v>
      </c>
      <c r="E22" s="55" t="n">
        <f aca="false">GD2_Baseline!$G$9</f>
        <v>281323</v>
      </c>
      <c r="F22" s="37" t="str">
        <f aca="false">IF(C22&lt;E22,"Tốt hơn","Kém hơn")</f>
        <v>Kém hơn</v>
      </c>
      <c r="G22" s="50" t="n">
        <f aca="false">D15-E15</f>
        <v>6484</v>
      </c>
      <c r="H22" s="50" t="n">
        <f aca="false">$B$9/G22*$B$3/1000000</f>
        <v>501.712523133868</v>
      </c>
    </row>
    <row r="23" customFormat="false" ht="30" hidden="false" customHeight="true" outlineLevel="0" collapsed="false">
      <c r="A23" s="32" t="s">
        <v>297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5" customFormat="false" ht="15" hidden="false" customHeight="true" outlineLevel="0" collapsed="false">
      <c r="A25" s="52" t="s">
        <v>298</v>
      </c>
    </row>
    <row r="26" customFormat="false" ht="43.5" hidden="false" customHeight="true" outlineLevel="0" collapsed="false">
      <c r="A26" s="36" t="s">
        <v>299</v>
      </c>
      <c r="B26" s="36" t="s">
        <v>300</v>
      </c>
      <c r="C26" s="36" t="s">
        <v>301</v>
      </c>
      <c r="D26" s="36" t="s">
        <v>302</v>
      </c>
      <c r="E26" s="36" t="s">
        <v>303</v>
      </c>
      <c r="F26" s="36" t="s">
        <v>304</v>
      </c>
      <c r="G26" s="36" t="s">
        <v>305</v>
      </c>
      <c r="H26" s="36" t="s">
        <v>306</v>
      </c>
      <c r="I26" s="36" t="s">
        <v>97</v>
      </c>
    </row>
    <row r="27" customFormat="false" ht="42" hidden="false" customHeight="true" outlineLevel="0" collapsed="false">
      <c r="A27" s="53" t="s">
        <v>307</v>
      </c>
      <c r="B27" s="38" t="s">
        <v>308</v>
      </c>
      <c r="C27" s="66" t="n">
        <v>3.05745534896851</v>
      </c>
      <c r="D27" s="66" t="n">
        <v>2.97336201667786</v>
      </c>
      <c r="E27" s="45" t="n">
        <f aca="false">D27/C27-1</f>
        <v>-0.0275043533567941</v>
      </c>
      <c r="F27" s="67" t="n">
        <v>21.2733549637829</v>
      </c>
      <c r="G27" s="67" t="n">
        <v>19.557562038459</v>
      </c>
      <c r="H27" s="48" t="n">
        <f aca="false">G27/F27-1</f>
        <v>-0.0806545525256818</v>
      </c>
      <c r="I27" s="38" t="s">
        <v>309</v>
      </c>
    </row>
    <row r="28" customFormat="false" ht="42" hidden="false" customHeight="true" outlineLevel="0" collapsed="false">
      <c r="A28" s="53" t="s">
        <v>310</v>
      </c>
      <c r="B28" s="38" t="s">
        <v>311</v>
      </c>
      <c r="C28" s="66" t="n">
        <v>3.16347914934158</v>
      </c>
      <c r="D28" s="66" t="n">
        <v>3.08502568304539</v>
      </c>
      <c r="E28" s="45" t="n">
        <f aca="false">D28/C28-1</f>
        <v>-0.0247997418641178</v>
      </c>
      <c r="F28" s="67" t="n">
        <v>23.6527423858643</v>
      </c>
      <c r="G28" s="67" t="n">
        <v>21.8680305480957</v>
      </c>
      <c r="H28" s="48" t="n">
        <f aca="false">G28/F28-1</f>
        <v>-0.0754547531382749</v>
      </c>
      <c r="I28" s="38" t="s">
        <v>312</v>
      </c>
    </row>
    <row r="31" customFormat="false" ht="15" hidden="false" customHeight="true" outlineLevel="0" collapsed="false">
      <c r="A31" s="52" t="s">
        <v>313</v>
      </c>
    </row>
    <row r="32" customFormat="false" ht="15" hidden="false" customHeight="true" outlineLevel="0" collapsed="false">
      <c r="A32" s="53" t="s">
        <v>314</v>
      </c>
      <c r="B32" s="43" t="s">
        <v>315</v>
      </c>
      <c r="C32" s="43"/>
      <c r="D32" s="43"/>
    </row>
    <row r="33" customFormat="false" ht="15" hidden="false" customHeight="true" outlineLevel="0" collapsed="false">
      <c r="A33" s="53" t="s">
        <v>316</v>
      </c>
      <c r="B33" s="43" t="s">
        <v>317</v>
      </c>
      <c r="C33" s="43"/>
      <c r="D33" s="43"/>
    </row>
    <row r="34" customFormat="false" ht="15" hidden="false" customHeight="true" outlineLevel="0" collapsed="false">
      <c r="A34" s="53" t="s">
        <v>318</v>
      </c>
      <c r="B34" s="43" t="s">
        <v>319</v>
      </c>
      <c r="C34" s="43"/>
      <c r="D34" s="43"/>
    </row>
    <row r="35" customFormat="false" ht="15" hidden="false" customHeight="true" outlineLevel="0" collapsed="false">
      <c r="A35" s="53" t="s">
        <v>320</v>
      </c>
      <c r="B35" s="47" t="n">
        <v>48.6143009662628</v>
      </c>
    </row>
    <row r="36" customFormat="false" ht="15" hidden="false" customHeight="true" outlineLevel="0" collapsed="false">
      <c r="A36" s="53" t="s">
        <v>321</v>
      </c>
      <c r="B36" s="47" t="n">
        <v>2749.2373046875</v>
      </c>
    </row>
    <row r="37" customFormat="false" ht="15" hidden="false" customHeight="true" outlineLevel="0" collapsed="false">
      <c r="A37" s="53" t="s">
        <v>322</v>
      </c>
      <c r="B37" s="47" t="n">
        <v>3024</v>
      </c>
    </row>
    <row r="38" customFormat="false" ht="15" hidden="false" customHeight="true" outlineLevel="0" collapsed="false">
      <c r="A38" s="53" t="s">
        <v>323</v>
      </c>
      <c r="B38" s="43" t="s">
        <v>324</v>
      </c>
      <c r="C38" s="43"/>
      <c r="D38" s="43"/>
    </row>
  </sheetData>
  <mergeCells count="7">
    <mergeCell ref="A16:N16"/>
    <mergeCell ref="A17:N17"/>
    <mergeCell ref="A23:N23"/>
    <mergeCell ref="B32:D32"/>
    <mergeCell ref="B33:D33"/>
    <mergeCell ref="B34:D34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F9" activeCellId="0" sqref="F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false" outlineLevel="0" max="4" min="4" style="1" width="46"/>
    <col collapsed="false" customWidth="true" hidden="false" outlineLevel="0" max="5" min="5" style="1" width="26"/>
    <col collapsed="false" customWidth="true" hidden="false" outlineLevel="0" max="6" min="6" style="1" width="56"/>
  </cols>
  <sheetData>
    <row r="1" customFormat="false" ht="18" hidden="false" customHeight="true" outlineLevel="0" collapsed="false">
      <c r="A1" s="33" t="s">
        <v>153</v>
      </c>
    </row>
    <row r="2" customFormat="false" ht="15" hidden="false" customHeight="true" outlineLevel="0" collapsed="false">
      <c r="A2" s="34" t="s">
        <v>325</v>
      </c>
    </row>
    <row r="3" customFormat="false" ht="43.5" hidden="false" customHeight="true" outlineLevel="0" collapsed="false">
      <c r="A3" s="36" t="s">
        <v>7</v>
      </c>
      <c r="B3" s="36" t="s">
        <v>326</v>
      </c>
      <c r="C3" s="36" t="s">
        <v>327</v>
      </c>
      <c r="D3" s="36" t="s">
        <v>328</v>
      </c>
      <c r="E3" s="36" t="s">
        <v>329</v>
      </c>
      <c r="F3" s="36" t="s">
        <v>330</v>
      </c>
    </row>
    <row r="4" customFormat="false" ht="61.5" hidden="false" customHeight="true" outlineLevel="0" collapsed="false">
      <c r="A4" s="37" t="n">
        <v>1</v>
      </c>
      <c r="B4" s="38" t="s">
        <v>331</v>
      </c>
      <c r="C4" s="38" t="s">
        <v>332</v>
      </c>
      <c r="D4" s="38" t="s">
        <v>333</v>
      </c>
      <c r="E4" s="38" t="s">
        <v>334</v>
      </c>
      <c r="F4" s="38" t="s">
        <v>18</v>
      </c>
    </row>
    <row r="5" customFormat="false" ht="61.5" hidden="false" customHeight="true" outlineLevel="0" collapsed="false">
      <c r="A5" s="37" t="n">
        <v>2</v>
      </c>
      <c r="B5" s="38" t="s">
        <v>335</v>
      </c>
      <c r="C5" s="68" t="s">
        <v>336</v>
      </c>
      <c r="D5" s="38" t="s">
        <v>337</v>
      </c>
      <c r="E5" s="38" t="s">
        <v>338</v>
      </c>
      <c r="F5" s="69" t="s">
        <v>339</v>
      </c>
      <c r="G5" s="70" t="s">
        <v>170</v>
      </c>
    </row>
    <row r="6" customFormat="false" ht="61.5" hidden="false" customHeight="true" outlineLevel="0" collapsed="false">
      <c r="A6" s="37" t="n">
        <v>3</v>
      </c>
      <c r="B6" s="38" t="s">
        <v>340</v>
      </c>
      <c r="C6" s="71" t="s">
        <v>341</v>
      </c>
      <c r="D6" s="38" t="s">
        <v>342</v>
      </c>
      <c r="E6" s="38" t="s">
        <v>343</v>
      </c>
      <c r="F6" s="38" t="s">
        <v>344</v>
      </c>
    </row>
    <row r="7" customFormat="false" ht="61.5" hidden="false" customHeight="true" outlineLevel="0" collapsed="false">
      <c r="A7" s="37" t="n">
        <v>4</v>
      </c>
      <c r="B7" s="38" t="s">
        <v>345</v>
      </c>
      <c r="C7" s="38" t="s">
        <v>180</v>
      </c>
      <c r="D7" s="38" t="s">
        <v>346</v>
      </c>
      <c r="E7" s="38" t="s">
        <v>347</v>
      </c>
      <c r="F7" s="38" t="s">
        <v>348</v>
      </c>
    </row>
    <row r="8" customFormat="false" ht="61.5" hidden="false" customHeight="true" outlineLevel="0" collapsed="false">
      <c r="A8" s="37" t="n">
        <v>5</v>
      </c>
      <c r="B8" s="38" t="s">
        <v>349</v>
      </c>
      <c r="C8" s="38" t="s">
        <v>350</v>
      </c>
      <c r="D8" s="38" t="s">
        <v>351</v>
      </c>
      <c r="E8" s="38" t="s">
        <v>352</v>
      </c>
      <c r="F8" s="38" t="s">
        <v>353</v>
      </c>
    </row>
    <row r="9" customFormat="false" ht="61.5" hidden="false" customHeight="true" outlineLevel="0" collapsed="false">
      <c r="A9" s="37" t="n">
        <v>6</v>
      </c>
      <c r="B9" s="38" t="s">
        <v>354</v>
      </c>
      <c r="C9" s="38" t="s">
        <v>355</v>
      </c>
      <c r="D9" s="38" t="s">
        <v>356</v>
      </c>
      <c r="E9" s="38" t="s">
        <v>357</v>
      </c>
      <c r="F9" s="38" t="s">
        <v>358</v>
      </c>
    </row>
    <row r="10" customFormat="false" ht="61.5" hidden="false" customHeight="true" outlineLevel="0" collapsed="false">
      <c r="A10" s="37" t="n">
        <v>7</v>
      </c>
      <c r="B10" s="38" t="s">
        <v>359</v>
      </c>
      <c r="C10" s="72" t="s">
        <v>360</v>
      </c>
      <c r="D10" s="38" t="s">
        <v>361</v>
      </c>
      <c r="E10" s="38" t="s">
        <v>357</v>
      </c>
      <c r="F10" s="38" t="s">
        <v>362</v>
      </c>
    </row>
    <row r="11" customFormat="false" ht="61.5" hidden="false" customHeight="true" outlineLevel="0" collapsed="false">
      <c r="A11" s="37" t="n">
        <v>8</v>
      </c>
      <c r="B11" s="38" t="s">
        <v>363</v>
      </c>
      <c r="C11" s="73" t="s">
        <v>364</v>
      </c>
      <c r="D11" s="38" t="s">
        <v>365</v>
      </c>
      <c r="E11" s="38" t="s">
        <v>18</v>
      </c>
      <c r="F11" s="38" t="s">
        <v>366</v>
      </c>
    </row>
    <row r="12" customFormat="false" ht="61.5" hidden="false" customHeight="true" outlineLevel="0" collapsed="false">
      <c r="A12" s="37" t="n">
        <v>9</v>
      </c>
      <c r="B12" s="38" t="s">
        <v>367</v>
      </c>
      <c r="C12" s="71" t="s">
        <v>368</v>
      </c>
      <c r="D12" s="38" t="s">
        <v>369</v>
      </c>
      <c r="E12" s="38" t="s">
        <v>370</v>
      </c>
      <c r="F12" s="38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8" min="7" style="1" width="16"/>
    <col collapsed="false" customWidth="true" hidden="false" outlineLevel="0" max="9" min="9" style="1" width="24"/>
    <col collapsed="false" customWidth="true" hidden="false" outlineLevel="0" max="14" min="10" style="1" width="8"/>
    <col collapsed="false" customWidth="true" hidden="false" outlineLevel="0" max="18" min="15" style="1" width="14"/>
    <col collapsed="false" customWidth="true" hidden="false" outlineLevel="0" max="19" min="19" style="1" width="50"/>
  </cols>
  <sheetData>
    <row r="1" customFormat="false" ht="17.25" hidden="false" customHeight="true" outlineLevel="0" collapsed="false">
      <c r="A1" s="33" t="s">
        <v>372</v>
      </c>
    </row>
    <row r="2" customFormat="false" ht="15" hidden="false" customHeight="true" outlineLevel="0" collapsed="false">
      <c r="A2" s="34" t="s">
        <v>373</v>
      </c>
    </row>
    <row r="3" customFormat="false" ht="15" hidden="false" customHeight="true" outlineLevel="0" collapsed="false">
      <c r="A3" s="41" t="s">
        <v>374</v>
      </c>
      <c r="B3" s="55" t="n">
        <f aca="false">GD2_Baseline!B5</f>
        <v>286273</v>
      </c>
    </row>
    <row r="4" customFormat="false" ht="15" hidden="false" customHeight="true" outlineLevel="0" collapsed="false">
      <c r="I4" s="74" t="s">
        <v>375</v>
      </c>
      <c r="J4" s="49" t="n">
        <v>32</v>
      </c>
      <c r="K4" s="49" t="n">
        <v>64</v>
      </c>
      <c r="L4" s="49" t="n">
        <v>128</v>
      </c>
      <c r="M4" s="49" t="n">
        <v>256</v>
      </c>
      <c r="N4" s="49" t="n">
        <v>512</v>
      </c>
    </row>
    <row r="5" customFormat="false" ht="15" hidden="false" customHeight="true" outlineLevel="0" collapsed="false">
      <c r="A5" s="52" t="s">
        <v>376</v>
      </c>
    </row>
    <row r="6" customFormat="false" ht="43.5" hidden="false" customHeight="true" outlineLevel="0" collapsed="false">
      <c r="A6" s="36" t="s">
        <v>125</v>
      </c>
      <c r="B6" s="36" t="s">
        <v>377</v>
      </c>
      <c r="C6" s="36" t="s">
        <v>98</v>
      </c>
      <c r="D6" s="36" t="s">
        <v>100</v>
      </c>
      <c r="E6" s="36" t="s">
        <v>378</v>
      </c>
      <c r="F6" s="36" t="s">
        <v>379</v>
      </c>
      <c r="G6" s="36" t="s">
        <v>209</v>
      </c>
      <c r="H6" s="36" t="s">
        <v>380</v>
      </c>
      <c r="I6" s="36" t="s">
        <v>381</v>
      </c>
      <c r="J6" s="36" t="s">
        <v>382</v>
      </c>
      <c r="K6" s="36" t="s">
        <v>383</v>
      </c>
      <c r="L6" s="36" t="s">
        <v>384</v>
      </c>
      <c r="M6" s="36" t="s">
        <v>385</v>
      </c>
      <c r="N6" s="36" t="s">
        <v>386</v>
      </c>
      <c r="O6" s="36" t="s">
        <v>126</v>
      </c>
      <c r="P6" s="36" t="s">
        <v>387</v>
      </c>
      <c r="Q6" s="36" t="s">
        <v>388</v>
      </c>
      <c r="R6" s="36" t="s">
        <v>389</v>
      </c>
      <c r="S6" s="36" t="s">
        <v>97</v>
      </c>
    </row>
    <row r="7" customFormat="false" ht="30" hidden="false" customHeight="true" outlineLevel="0" collapsed="false">
      <c r="A7" s="41" t="s">
        <v>390</v>
      </c>
      <c r="B7" s="37" t="s">
        <v>391</v>
      </c>
      <c r="C7" s="42" t="n">
        <v>216534</v>
      </c>
      <c r="D7" s="75" t="n">
        <f aca="false">GD2_Baseline!$B$3/C7</f>
        <v>4.61821238235104</v>
      </c>
      <c r="E7" s="42" t="n">
        <v>278</v>
      </c>
      <c r="F7" s="47" t="n">
        <v>201.732230264</v>
      </c>
      <c r="G7" s="47" t="n">
        <v>12000.909038617</v>
      </c>
      <c r="H7" s="47" t="n">
        <v>817.92919921875</v>
      </c>
      <c r="I7" s="76" t="s">
        <v>392</v>
      </c>
      <c r="J7" s="42" t="n">
        <v>1</v>
      </c>
      <c r="K7" s="42" t="n">
        <v>17</v>
      </c>
      <c r="L7" s="42" t="n">
        <v>50</v>
      </c>
      <c r="M7" s="42" t="n">
        <v>397</v>
      </c>
      <c r="N7" s="42" t="n">
        <v>346</v>
      </c>
      <c r="O7" s="50" t="n">
        <f aca="false">SUMPRODUCT(J7:N7,$J$4:$N$4^2)</f>
        <v>117609472</v>
      </c>
      <c r="P7" s="77" t="n">
        <f aca="false">O7/SUMPRODUCT(J7:N7,$J$4:$N$4)</f>
        <v>410.785291159048</v>
      </c>
      <c r="Q7" s="43"/>
      <c r="R7" s="43"/>
      <c r="S7" s="38" t="s">
        <v>393</v>
      </c>
    </row>
    <row r="8" customFormat="false" ht="30" hidden="false" customHeight="true" outlineLevel="0" collapsed="false">
      <c r="A8" s="41" t="s">
        <v>394</v>
      </c>
      <c r="B8" s="37" t="s">
        <v>391</v>
      </c>
      <c r="C8" s="42" t="n">
        <v>238128</v>
      </c>
      <c r="D8" s="75" t="n">
        <f aca="false">GD2_Baseline!$B$3/C8</f>
        <v>4.19942215951085</v>
      </c>
      <c r="E8" s="42" t="n">
        <v>602</v>
      </c>
      <c r="F8" s="47" t="n">
        <v>195.814127761</v>
      </c>
      <c r="G8" s="51" t="s">
        <v>129</v>
      </c>
      <c r="H8" s="51" t="s">
        <v>129</v>
      </c>
      <c r="I8" s="78" t="s">
        <v>395</v>
      </c>
      <c r="J8" s="42" t="n">
        <v>39</v>
      </c>
      <c r="K8" s="42" t="n">
        <v>380</v>
      </c>
      <c r="L8" s="42" t="n">
        <v>1401</v>
      </c>
      <c r="M8" s="42" t="n">
        <v>292</v>
      </c>
      <c r="N8" s="42" t="n">
        <v>13</v>
      </c>
      <c r="O8" s="50" t="n">
        <f aca="false">SUMPRODUCT(J8:N8,$J$4:$N$4^2)</f>
        <v>47094784</v>
      </c>
      <c r="P8" s="77" t="n">
        <f aca="false">O8/SUMPRODUCT(J8:N8,$J$4:$N$4)</f>
        <v>164.492232033084</v>
      </c>
      <c r="Q8" s="79" t="n">
        <f aca="false">$P$25*O8/100000</f>
        <v>3810.27160331259</v>
      </c>
      <c r="R8" s="79" t="n">
        <f aca="false">$P$26*O8/100000</f>
        <v>4805.56718235514</v>
      </c>
      <c r="S8" s="38" t="s">
        <v>396</v>
      </c>
    </row>
    <row r="9" customFormat="false" ht="18" hidden="false" customHeight="true" outlineLevel="0" collapsed="false">
      <c r="A9" s="41" t="s">
        <v>397</v>
      </c>
      <c r="B9" s="37" t="s">
        <v>391</v>
      </c>
      <c r="C9" s="42" t="n">
        <v>258127</v>
      </c>
      <c r="D9" s="75" t="n">
        <f aca="false">GD2_Baseline!$B$3/C9</f>
        <v>3.87406199274001</v>
      </c>
      <c r="E9" s="42" t="n">
        <v>1001</v>
      </c>
      <c r="F9" s="47" t="n">
        <v>200.777248757</v>
      </c>
      <c r="G9" s="51" t="s">
        <v>129</v>
      </c>
      <c r="H9" s="51" t="s">
        <v>129</v>
      </c>
      <c r="I9" s="78" t="s">
        <v>395</v>
      </c>
      <c r="J9" s="42" t="n">
        <v>563</v>
      </c>
      <c r="K9" s="42" t="n">
        <v>2694</v>
      </c>
      <c r="L9" s="42" t="n">
        <v>703</v>
      </c>
      <c r="M9" s="42" t="n">
        <v>23</v>
      </c>
      <c r="N9" s="42" t="n">
        <v>0</v>
      </c>
      <c r="O9" s="50" t="n">
        <f aca="false">SUMPRODUCT(J9:N9,$J$4:$N$4^2)</f>
        <v>24636416</v>
      </c>
      <c r="P9" s="77" t="n">
        <f aca="false">O9/SUMPRODUCT(J9:N9,$J$4:$N$4)</f>
        <v>86.049849111434</v>
      </c>
      <c r="Q9" s="79" t="n">
        <f aca="false">$P$25*O9/100000</f>
        <v>1993.24486321449</v>
      </c>
      <c r="R9" s="79" t="n">
        <f aca="false">$P$26*O9/100000</f>
        <v>2513.90795678029</v>
      </c>
      <c r="S9" s="38"/>
    </row>
    <row r="10" customFormat="false" ht="18" hidden="false" customHeight="true" outlineLevel="0" collapsed="false">
      <c r="A10" s="41" t="s">
        <v>398</v>
      </c>
      <c r="B10" s="37" t="s">
        <v>391</v>
      </c>
      <c r="C10" s="42" t="n">
        <v>288012</v>
      </c>
      <c r="D10" s="75" t="n">
        <f aca="false">GD2_Baseline!$B$3/C10</f>
        <v>3.47207755232421</v>
      </c>
      <c r="E10" s="42" t="n">
        <v>1193</v>
      </c>
      <c r="F10" s="47" t="n">
        <v>201.605963877</v>
      </c>
      <c r="G10" s="51" t="s">
        <v>129</v>
      </c>
      <c r="H10" s="51" t="s">
        <v>129</v>
      </c>
      <c r="I10" s="78" t="s">
        <v>395</v>
      </c>
      <c r="J10" s="42" t="n">
        <v>6735</v>
      </c>
      <c r="K10" s="42" t="n">
        <v>1100</v>
      </c>
      <c r="L10" s="42" t="n">
        <v>3</v>
      </c>
      <c r="M10" s="42" t="n">
        <v>0</v>
      </c>
      <c r="N10" s="42" t="n">
        <v>0</v>
      </c>
      <c r="O10" s="50" t="n">
        <f aca="false">SUMPRODUCT(J10:N10,$J$4:$N$4^2)</f>
        <v>11451392</v>
      </c>
      <c r="P10" s="77" t="n">
        <f aca="false">O10/SUMPRODUCT(J10:N10,$J$4:$N$4)</f>
        <v>39.9973175366045</v>
      </c>
      <c r="Q10" s="79" t="n">
        <f aca="false">$P$25*O10/100000</f>
        <v>926.491429624158</v>
      </c>
      <c r="R10" s="79" t="n">
        <f aca="false">$P$26*O10/100000</f>
        <v>1168.50378987797</v>
      </c>
      <c r="S10" s="38"/>
    </row>
    <row r="11" customFormat="false" ht="30" hidden="false" customHeight="true" outlineLevel="0" collapsed="false">
      <c r="A11" s="32" t="s">
        <v>399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3" customFormat="false" ht="15" hidden="false" customHeight="true" outlineLevel="0" collapsed="false">
      <c r="A13" s="52" t="s">
        <v>400</v>
      </c>
    </row>
    <row r="14" customFormat="false" ht="43.5" hidden="false" customHeight="true" outlineLevel="0" collapsed="false">
      <c r="A14" s="36" t="s">
        <v>401</v>
      </c>
      <c r="B14" s="36" t="s">
        <v>377</v>
      </c>
      <c r="C14" s="36"/>
      <c r="D14" s="36"/>
      <c r="E14" s="36"/>
      <c r="F14" s="36"/>
      <c r="G14" s="36" t="s">
        <v>209</v>
      </c>
      <c r="H14" s="36" t="s">
        <v>380</v>
      </c>
      <c r="I14" s="36" t="s">
        <v>402</v>
      </c>
      <c r="J14" s="36" t="s">
        <v>382</v>
      </c>
      <c r="K14" s="36" t="s">
        <v>383</v>
      </c>
      <c r="L14" s="36" t="s">
        <v>384</v>
      </c>
      <c r="M14" s="36" t="s">
        <v>385</v>
      </c>
      <c r="N14" s="36" t="s">
        <v>386</v>
      </c>
      <c r="O14" s="36" t="s">
        <v>126</v>
      </c>
      <c r="P14" s="36" t="s">
        <v>403</v>
      </c>
      <c r="Q14" s="36"/>
      <c r="R14" s="36"/>
      <c r="S14" s="36" t="s">
        <v>97</v>
      </c>
    </row>
    <row r="15" customFormat="false" ht="30" hidden="false" customHeight="true" outlineLevel="0" collapsed="false">
      <c r="A15" s="41" t="s">
        <v>390</v>
      </c>
      <c r="B15" s="38" t="s">
        <v>404</v>
      </c>
      <c r="C15" s="43"/>
      <c r="D15" s="43"/>
      <c r="E15" s="43"/>
      <c r="F15" s="43"/>
      <c r="G15" s="47" t="n">
        <v>9414.866075763</v>
      </c>
      <c r="H15" s="47" t="n">
        <v>768.537109375</v>
      </c>
      <c r="I15" s="80" t="s">
        <v>405</v>
      </c>
      <c r="J15" s="42" t="n">
        <v>1</v>
      </c>
      <c r="K15" s="42" t="n">
        <v>17</v>
      </c>
      <c r="L15" s="42" t="n">
        <v>50</v>
      </c>
      <c r="M15" s="42" t="n">
        <v>397</v>
      </c>
      <c r="N15" s="42" t="n">
        <v>346</v>
      </c>
      <c r="O15" s="50" t="n">
        <f aca="false">SUMPRODUCT(J15:N15,$J$4:$N$4^2)</f>
        <v>117609472</v>
      </c>
      <c r="P15" s="81" t="n">
        <f aca="false">G15/O15*100000</f>
        <v>8.00519372773224</v>
      </c>
      <c r="Q15" s="43"/>
      <c r="R15" s="43"/>
      <c r="S15" s="38" t="s">
        <v>406</v>
      </c>
    </row>
    <row r="16" customFormat="false" ht="30" hidden="false" customHeight="true" outlineLevel="0" collapsed="false">
      <c r="A16" s="41" t="s">
        <v>390</v>
      </c>
      <c r="B16" s="38" t="s">
        <v>407</v>
      </c>
      <c r="C16" s="43"/>
      <c r="D16" s="43"/>
      <c r="E16" s="43"/>
      <c r="F16" s="43"/>
      <c r="G16" s="47" t="n">
        <v>9515.364407281</v>
      </c>
      <c r="H16" s="47" t="n">
        <v>767.912109375</v>
      </c>
      <c r="I16" s="76" t="s">
        <v>408</v>
      </c>
      <c r="J16" s="42" t="n">
        <v>1</v>
      </c>
      <c r="K16" s="42" t="n">
        <v>17</v>
      </c>
      <c r="L16" s="42" t="n">
        <v>50</v>
      </c>
      <c r="M16" s="42" t="n">
        <v>397</v>
      </c>
      <c r="N16" s="42" t="n">
        <v>346</v>
      </c>
      <c r="O16" s="50" t="n">
        <f aca="false">SUMPRODUCT(J16:N16,$J$4:$N$4^2)</f>
        <v>117609472</v>
      </c>
      <c r="P16" s="81" t="n">
        <f aca="false">G16/O16*100000</f>
        <v>8.09064461005403</v>
      </c>
      <c r="Q16" s="43"/>
      <c r="R16" s="43"/>
      <c r="S16" s="38" t="s">
        <v>409</v>
      </c>
    </row>
    <row r="17" customFormat="false" ht="30" hidden="false" customHeight="true" outlineLevel="0" collapsed="false">
      <c r="A17" s="41" t="s">
        <v>390</v>
      </c>
      <c r="B17" s="38" t="s">
        <v>410</v>
      </c>
      <c r="C17" s="43"/>
      <c r="D17" s="43"/>
      <c r="E17" s="43"/>
      <c r="F17" s="43"/>
      <c r="G17" s="47" t="n">
        <v>9518.134973539</v>
      </c>
      <c r="H17" s="47" t="n">
        <v>767.912109375</v>
      </c>
      <c r="I17" s="76" t="s">
        <v>408</v>
      </c>
      <c r="J17" s="42" t="n">
        <v>1</v>
      </c>
      <c r="K17" s="42" t="n">
        <v>17</v>
      </c>
      <c r="L17" s="42" t="n">
        <v>50</v>
      </c>
      <c r="M17" s="42" t="n">
        <v>397</v>
      </c>
      <c r="N17" s="42" t="n">
        <v>346</v>
      </c>
      <c r="O17" s="50" t="n">
        <f aca="false">SUMPRODUCT(J17:N17,$J$4:$N$4^2)</f>
        <v>117609472</v>
      </c>
      <c r="P17" s="81" t="n">
        <f aca="false">G17/O17*100000</f>
        <v>8.09300034400205</v>
      </c>
      <c r="Q17" s="43"/>
      <c r="R17" s="43"/>
      <c r="S17" s="38" t="s">
        <v>411</v>
      </c>
    </row>
    <row r="18" customFormat="false" ht="30" hidden="false" customHeight="true" outlineLevel="0" collapsed="false">
      <c r="A18" s="41" t="s">
        <v>390</v>
      </c>
      <c r="B18" s="38" t="s">
        <v>412</v>
      </c>
      <c r="C18" s="43"/>
      <c r="D18" s="43"/>
      <c r="E18" s="43"/>
      <c r="F18" s="43"/>
      <c r="G18" s="47" t="n">
        <v>9523.105505017</v>
      </c>
      <c r="H18" s="47" t="n">
        <v>768.7744140625</v>
      </c>
      <c r="I18" s="76" t="s">
        <v>408</v>
      </c>
      <c r="J18" s="42" t="n">
        <v>1</v>
      </c>
      <c r="K18" s="42" t="n">
        <v>17</v>
      </c>
      <c r="L18" s="42" t="n">
        <v>50</v>
      </c>
      <c r="M18" s="42" t="n">
        <v>397</v>
      </c>
      <c r="N18" s="42" t="n">
        <v>346</v>
      </c>
      <c r="O18" s="50" t="n">
        <f aca="false">SUMPRODUCT(J18:N18,$J$4:$N$4^2)</f>
        <v>117609472</v>
      </c>
      <c r="P18" s="81" t="n">
        <f aca="false">G18/O18*100000</f>
        <v>8.09722664601113</v>
      </c>
      <c r="Q18" s="43"/>
      <c r="R18" s="43"/>
      <c r="S18" s="38" t="s">
        <v>413</v>
      </c>
    </row>
    <row r="19" customFormat="false" ht="30" hidden="false" customHeight="true" outlineLevel="0" collapsed="false">
      <c r="A19" s="41" t="s">
        <v>390</v>
      </c>
      <c r="B19" s="38" t="s">
        <v>414</v>
      </c>
      <c r="C19" s="43"/>
      <c r="D19" s="43"/>
      <c r="E19" s="43"/>
      <c r="F19" s="43"/>
      <c r="G19" s="47" t="n">
        <v>12000.909038617</v>
      </c>
      <c r="H19" s="47" t="n">
        <v>817.92919921875</v>
      </c>
      <c r="I19" s="76" t="s">
        <v>408</v>
      </c>
      <c r="J19" s="42" t="n">
        <v>1</v>
      </c>
      <c r="K19" s="42" t="n">
        <v>17</v>
      </c>
      <c r="L19" s="42" t="n">
        <v>50</v>
      </c>
      <c r="M19" s="42" t="n">
        <v>397</v>
      </c>
      <c r="N19" s="42" t="n">
        <v>346</v>
      </c>
      <c r="O19" s="50" t="n">
        <f aca="false">SUMPRODUCT(J19:N19,$J$4:$N$4^2)</f>
        <v>117609472</v>
      </c>
      <c r="P19" s="81" t="n">
        <f aca="false">G19/O19*100000</f>
        <v>10.2040327488393</v>
      </c>
      <c r="Q19" s="43"/>
      <c r="R19" s="43"/>
      <c r="S19" s="38" t="s">
        <v>415</v>
      </c>
    </row>
    <row r="20" customFormat="false" ht="30" hidden="false" customHeight="true" outlineLevel="0" collapsed="false">
      <c r="A20" s="41" t="s">
        <v>394</v>
      </c>
      <c r="B20" s="38" t="s">
        <v>404</v>
      </c>
      <c r="C20" s="43"/>
      <c r="D20" s="43"/>
      <c r="E20" s="43"/>
      <c r="F20" s="43"/>
      <c r="G20" s="47" t="n">
        <v>4605.530830535</v>
      </c>
      <c r="H20" s="47" t="n">
        <v>777.25634765625</v>
      </c>
      <c r="I20" s="76" t="s">
        <v>408</v>
      </c>
      <c r="J20" s="42" t="n">
        <v>39</v>
      </c>
      <c r="K20" s="42" t="n">
        <v>380</v>
      </c>
      <c r="L20" s="42" t="n">
        <v>1401</v>
      </c>
      <c r="M20" s="42" t="n">
        <v>292</v>
      </c>
      <c r="N20" s="42" t="n">
        <v>13</v>
      </c>
      <c r="O20" s="50" t="n">
        <f aca="false">SUMPRODUCT(J20:N20,$J$4:$N$4^2)</f>
        <v>47094784</v>
      </c>
      <c r="P20" s="81" t="n">
        <f aca="false">G20/O20*100000</f>
        <v>9.77928008022077</v>
      </c>
      <c r="Q20" s="43"/>
      <c r="R20" s="43"/>
      <c r="S20" s="38"/>
    </row>
    <row r="21" customFormat="false" ht="23.25" hidden="false" customHeight="true" outlineLevel="0" collapsed="false">
      <c r="A21" s="4" t="s">
        <v>390</v>
      </c>
      <c r="B21" s="5" t="s">
        <v>416</v>
      </c>
      <c r="G21" s="23" t="n">
        <v>10833.343960682</v>
      </c>
      <c r="H21" s="23" t="n">
        <v>768.537109375</v>
      </c>
      <c r="I21" s="31" t="s">
        <v>417</v>
      </c>
      <c r="J21" s="19" t="n">
        <v>1</v>
      </c>
      <c r="K21" s="19" t="n">
        <v>17</v>
      </c>
      <c r="L21" s="19" t="n">
        <v>50</v>
      </c>
      <c r="M21" s="19" t="n">
        <v>397</v>
      </c>
      <c r="N21" s="19" t="n">
        <v>346</v>
      </c>
      <c r="O21" s="21" t="n">
        <f aca="false">SUMPRODUCT(J21:N21,$J$4:$N$4^2)</f>
        <v>117609472</v>
      </c>
      <c r="P21" s="25" t="n">
        <f aca="false">G21/O21*100000</f>
        <v>9.21128526168539</v>
      </c>
      <c r="S21" s="13" t="s">
        <v>418</v>
      </c>
    </row>
    <row r="22" customFormat="false" ht="23.25" hidden="false" customHeight="true" outlineLevel="0" collapsed="false">
      <c r="A22" s="53" t="s">
        <v>419</v>
      </c>
      <c r="G22" s="48" t="n">
        <f aca="false">G19/G18-1</f>
        <v>0.260188604683066</v>
      </c>
    </row>
    <row r="23" customFormat="false" ht="23.25" hidden="false" customHeight="true" outlineLevel="0" collapsed="false">
      <c r="A23" s="53" t="s">
        <v>420</v>
      </c>
      <c r="G23" s="62" t="n">
        <f aca="false">H19-H18</f>
        <v>49.15478515625</v>
      </c>
    </row>
    <row r="24" customFormat="false" ht="30" hidden="false" customHeight="true" outlineLevel="0" collapsed="false">
      <c r="A24" s="32" t="s">
        <v>421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</row>
    <row r="25" customFormat="false" ht="15" hidden="false" customHeight="true" outlineLevel="0" collapsed="false">
      <c r="A25" s="53" t="s">
        <v>422</v>
      </c>
      <c r="P25" s="81" t="n">
        <f aca="false">MIN(P16:P20)</f>
        <v>8.09064461005403</v>
      </c>
    </row>
    <row r="26" customFormat="false" ht="15" hidden="false" customHeight="true" outlineLevel="0" collapsed="false">
      <c r="A26" s="53" t="s">
        <v>423</v>
      </c>
      <c r="P26" s="81" t="n">
        <f aca="false">MAX(P16:P20)</f>
        <v>10.2040327488393</v>
      </c>
    </row>
    <row r="28" customFormat="false" ht="15" hidden="false" customHeight="true" outlineLevel="0" collapsed="false">
      <c r="A28" s="52" t="s">
        <v>424</v>
      </c>
    </row>
    <row r="29" customFormat="false" ht="43.5" hidden="false" customHeight="true" outlineLevel="0" collapsed="false">
      <c r="A29" s="36" t="s">
        <v>401</v>
      </c>
      <c r="B29" s="36" t="s">
        <v>425</v>
      </c>
      <c r="C29" s="36" t="s">
        <v>98</v>
      </c>
      <c r="D29" s="36" t="s">
        <v>426</v>
      </c>
      <c r="E29" s="36" t="s">
        <v>427</v>
      </c>
      <c r="F29" s="36" t="s">
        <v>428</v>
      </c>
      <c r="G29" s="36" t="s">
        <v>429</v>
      </c>
      <c r="H29" s="36" t="s">
        <v>430</v>
      </c>
      <c r="I29" s="36" t="s">
        <v>431</v>
      </c>
    </row>
    <row r="30" customFormat="false" ht="15" hidden="false" customHeight="true" outlineLevel="0" collapsed="false">
      <c r="A30" s="41" t="s">
        <v>432</v>
      </c>
      <c r="B30" s="82" t="n">
        <v>0.201930999755859</v>
      </c>
      <c r="C30" s="42" t="n">
        <v>275748</v>
      </c>
      <c r="D30" s="42" t="n">
        <v>126515</v>
      </c>
      <c r="E30" s="48" t="n">
        <f aca="false">D30/$B$3</f>
        <v>0.441938289674541</v>
      </c>
      <c r="F30" s="42" t="n">
        <v>246453</v>
      </c>
      <c r="G30" s="77" t="n">
        <f aca="false">F30*8/D30</f>
        <v>15.5841125558234</v>
      </c>
      <c r="H30" s="50" t="n">
        <f aca="false">C30-$C$7</f>
        <v>59214</v>
      </c>
      <c r="I30" s="48" t="n">
        <f aca="false">C30/$C$7-1</f>
        <v>0.273462828008535</v>
      </c>
    </row>
    <row r="31" customFormat="false" ht="15" hidden="false" customHeight="true" outlineLevel="0" collapsed="false">
      <c r="A31" s="41" t="s">
        <v>433</v>
      </c>
      <c r="B31" s="82" t="n">
        <v>0.151939392089844</v>
      </c>
      <c r="C31" s="42" t="n">
        <v>271367</v>
      </c>
      <c r="D31" s="42" t="n">
        <v>119152</v>
      </c>
      <c r="E31" s="48" t="n">
        <f aca="false">D31/$B$3</f>
        <v>0.416218085533739</v>
      </c>
      <c r="F31" s="42" t="n">
        <v>236358</v>
      </c>
      <c r="G31" s="77" t="n">
        <f aca="false">F31*8/D31</f>
        <v>15.8693433597422</v>
      </c>
      <c r="H31" s="50" t="n">
        <f aca="false">C31-$C$7</f>
        <v>54833</v>
      </c>
      <c r="I31" s="48" t="n">
        <f aca="false">C31/$C$7-1</f>
        <v>0.253230439561455</v>
      </c>
    </row>
    <row r="32" customFormat="false" ht="30" hidden="false" customHeight="true" outlineLevel="0" collapsed="false">
      <c r="A32" s="32" t="s">
        <v>434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</row>
    <row r="34" customFormat="false" ht="33.75" hidden="false" customHeight="true" outlineLevel="0" collapsed="false">
      <c r="A34" s="83" t="s">
        <v>435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</row>
    <row r="35" customFormat="false" ht="43.5" hidden="false" customHeight="true" outlineLevel="0" collapsed="false">
      <c r="A35" s="84"/>
      <c r="B35" s="84"/>
      <c r="C35" s="84"/>
      <c r="D35" s="84"/>
      <c r="E35" s="84"/>
      <c r="F35" s="84"/>
      <c r="G35" s="84"/>
      <c r="H35" s="84"/>
    </row>
    <row r="36" customFormat="false" ht="15" hidden="false" customHeight="true" outlineLevel="0" collapsed="false">
      <c r="A36" s="85"/>
      <c r="B36" s="86"/>
      <c r="C36" s="87"/>
      <c r="D36" s="88"/>
      <c r="E36" s="89"/>
      <c r="F36" s="90"/>
      <c r="G36" s="89"/>
      <c r="H36" s="91"/>
    </row>
    <row r="37" customFormat="false" ht="15" hidden="false" customHeight="true" outlineLevel="0" collapsed="false">
      <c r="A37" s="85"/>
      <c r="B37" s="86"/>
      <c r="C37" s="87"/>
      <c r="D37" s="88"/>
      <c r="E37" s="89"/>
      <c r="F37" s="90"/>
      <c r="G37" s="89"/>
      <c r="H37" s="91"/>
    </row>
    <row r="38" customFormat="false" ht="15" hidden="false" customHeight="true" outlineLevel="0" collapsed="false">
      <c r="A38" s="85"/>
      <c r="B38" s="86"/>
      <c r="C38" s="87"/>
      <c r="D38" s="88"/>
      <c r="E38" s="89"/>
      <c r="F38" s="90"/>
      <c r="G38" s="89"/>
      <c r="H38" s="91"/>
    </row>
    <row r="39" customFormat="false" ht="15" hidden="false" customHeight="true" outlineLevel="0" collapsed="false">
      <c r="A39" s="85"/>
      <c r="B39" s="86"/>
      <c r="C39" s="87"/>
      <c r="D39" s="88"/>
      <c r="E39" s="89"/>
      <c r="F39" s="90"/>
      <c r="G39" s="89"/>
      <c r="H39" s="91"/>
    </row>
    <row r="40" customFormat="false" ht="36" hidden="false" customHeight="true" outlineLevel="0" collapsed="false">
      <c r="A40" s="92"/>
    </row>
  </sheetData>
  <mergeCells count="4">
    <mergeCell ref="A11:S11"/>
    <mergeCell ref="A24:S24"/>
    <mergeCell ref="A32:S32"/>
    <mergeCell ref="A34:S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6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18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3" min="13" style="1" width="16"/>
    <col collapsed="false" customWidth="true" hidden="false" outlineLevel="0" max="14" min="14" style="1" width="30"/>
  </cols>
  <sheetData>
    <row r="1" customFormat="false" ht="17.25" hidden="false" customHeight="true" outlineLevel="0" collapsed="false">
      <c r="A1" s="33" t="s">
        <v>436</v>
      </c>
    </row>
    <row r="2" customFormat="false" ht="15" hidden="false" customHeight="true" outlineLevel="0" collapsed="false">
      <c r="A2" s="34" t="s">
        <v>437</v>
      </c>
    </row>
    <row r="4" customFormat="false" ht="15" hidden="false" customHeight="true" outlineLevel="0" collapsed="false">
      <c r="A4" s="53" t="s">
        <v>438</v>
      </c>
      <c r="B4" s="47" t="n">
        <v>12000.909038617</v>
      </c>
    </row>
    <row r="5" customFormat="false" ht="15" hidden="false" customHeight="true" outlineLevel="0" collapsed="false">
      <c r="A5" s="53" t="s">
        <v>439</v>
      </c>
      <c r="B5" s="47" t="n">
        <v>9523.105505017</v>
      </c>
    </row>
    <row r="6" customFormat="false" ht="15" hidden="false" customHeight="true" outlineLevel="0" collapsed="false">
      <c r="A6" s="53" t="s">
        <v>440</v>
      </c>
      <c r="B6" s="42" t="n">
        <v>117609472</v>
      </c>
    </row>
    <row r="7" customFormat="false" ht="15" hidden="false" customHeight="true" outlineLevel="0" collapsed="false">
      <c r="A7" s="53" t="s">
        <v>441</v>
      </c>
      <c r="B7" s="93" t="n">
        <f aca="false">B4/B6</f>
        <v>0.000102040327488393</v>
      </c>
    </row>
    <row r="8" customFormat="false" ht="15" hidden="false" customHeight="true" outlineLevel="0" collapsed="false">
      <c r="A8" s="53" t="s">
        <v>442</v>
      </c>
      <c r="B8" s="93" t="n">
        <f aca="false">B5/B6</f>
        <v>8.09722664601113E-005</v>
      </c>
    </row>
    <row r="9" customFormat="false" ht="15" hidden="false" customHeight="true" outlineLevel="0" collapsed="false">
      <c r="A9" s="53" t="s">
        <v>110</v>
      </c>
      <c r="B9" s="42" t="n">
        <v>286304</v>
      </c>
    </row>
    <row r="11" customFormat="false" ht="15" hidden="false" customHeight="true" outlineLevel="0" collapsed="false">
      <c r="A11" s="52" t="s">
        <v>443</v>
      </c>
    </row>
    <row r="12" customFormat="false" ht="48" hidden="false" customHeight="true" outlineLevel="0" collapsed="false">
      <c r="A12" s="36" t="s">
        <v>444</v>
      </c>
      <c r="B12" s="36" t="s">
        <v>445</v>
      </c>
      <c r="C12" s="36" t="s">
        <v>98</v>
      </c>
      <c r="D12" s="36" t="s">
        <v>100</v>
      </c>
      <c r="E12" s="36" t="s">
        <v>378</v>
      </c>
      <c r="F12" s="36" t="s">
        <v>208</v>
      </c>
      <c r="G12" s="36" t="s">
        <v>126</v>
      </c>
      <c r="H12" s="36" t="s">
        <v>446</v>
      </c>
      <c r="I12" s="36" t="s">
        <v>447</v>
      </c>
      <c r="J12" s="36" t="s">
        <v>448</v>
      </c>
      <c r="K12" s="36" t="s">
        <v>449</v>
      </c>
      <c r="L12" s="36" t="s">
        <v>97</v>
      </c>
    </row>
    <row r="13" customFormat="false" ht="15" hidden="false" customHeight="true" outlineLevel="0" collapsed="false">
      <c r="A13" s="41" t="s">
        <v>128</v>
      </c>
      <c r="B13" s="43" t="s">
        <v>450</v>
      </c>
      <c r="C13" s="42" t="n">
        <v>300576</v>
      </c>
      <c r="D13" s="75" t="n">
        <f aca="false">GD2_Baseline!$B$3/C13</f>
        <v>3.32694559778559</v>
      </c>
      <c r="E13" s="42" t="n">
        <v>1194</v>
      </c>
      <c r="F13" s="47" t="n">
        <v>27.9891557690003</v>
      </c>
      <c r="G13" s="42" t="n">
        <v>9161728</v>
      </c>
      <c r="H13" s="77" t="n">
        <f aca="false">G13/$B$9</f>
        <v>32</v>
      </c>
      <c r="I13" s="79" t="n">
        <f aca="false">$B$7*G13</f>
        <v>934.865725479581</v>
      </c>
      <c r="J13" s="79" t="n">
        <f aca="false">$B$8*G13</f>
        <v>741.845880851063</v>
      </c>
      <c r="K13" s="78" t="s">
        <v>451</v>
      </c>
      <c r="L13" s="43"/>
    </row>
    <row r="14" customFormat="false" ht="15" hidden="false" customHeight="true" outlineLevel="0" collapsed="false">
      <c r="A14" s="41" t="s">
        <v>131</v>
      </c>
      <c r="B14" s="43" t="s">
        <v>450</v>
      </c>
      <c r="C14" s="42" t="n">
        <v>271704</v>
      </c>
      <c r="D14" s="75" t="n">
        <f aca="false">GD2_Baseline!$B$3/C14</f>
        <v>3.68047581191296</v>
      </c>
      <c r="E14" s="42" t="n">
        <v>1194</v>
      </c>
      <c r="F14" s="47" t="n">
        <v>28.532199752</v>
      </c>
      <c r="G14" s="42" t="n">
        <v>18322432</v>
      </c>
      <c r="H14" s="77" t="n">
        <f aca="false">G14/$B$9</f>
        <v>63.9964233821393</v>
      </c>
      <c r="I14" s="79" t="n">
        <f aca="false">$B$7*G14</f>
        <v>1869.62696166381</v>
      </c>
      <c r="J14" s="79" t="n">
        <f aca="false">$B$8*G14</f>
        <v>1483.60884610127</v>
      </c>
      <c r="K14" s="78" t="s">
        <v>451</v>
      </c>
      <c r="L14" s="43"/>
    </row>
    <row r="15" customFormat="false" ht="15" hidden="false" customHeight="true" outlineLevel="0" collapsed="false">
      <c r="A15" s="41" t="s">
        <v>132</v>
      </c>
      <c r="B15" s="43" t="s">
        <v>450</v>
      </c>
      <c r="C15" s="42" t="n">
        <v>246976</v>
      </c>
      <c r="D15" s="75" t="n">
        <f aca="false">GD2_Baseline!$B$3/C15</f>
        <v>4.04897641876134</v>
      </c>
      <c r="E15" s="42" t="n">
        <v>635</v>
      </c>
      <c r="F15" s="47" t="n">
        <v>26.4945085250001</v>
      </c>
      <c r="G15" s="42" t="n">
        <v>36639744</v>
      </c>
      <c r="H15" s="77" t="n">
        <f aca="false">G15/$B$9</f>
        <v>127.974963674975</v>
      </c>
      <c r="I15" s="79" t="n">
        <f aca="false">$B$7*G15</f>
        <v>3738.73147685089</v>
      </c>
      <c r="J15" s="79" t="n">
        <f aca="false">$B$8*G15</f>
        <v>2966.80311419826</v>
      </c>
      <c r="K15" s="78" t="s">
        <v>451</v>
      </c>
      <c r="L15" s="43"/>
    </row>
    <row r="16" customFormat="false" ht="15" hidden="false" customHeight="true" outlineLevel="0" collapsed="false">
      <c r="A16" s="41" t="s">
        <v>134</v>
      </c>
      <c r="B16" s="43" t="s">
        <v>450</v>
      </c>
      <c r="C16" s="42" t="n">
        <v>228006</v>
      </c>
      <c r="D16" s="75" t="n">
        <f aca="false">GD2_Baseline!$B$3/C16</f>
        <v>4.38584949518872</v>
      </c>
      <c r="E16" s="42" t="n">
        <v>355</v>
      </c>
      <c r="F16" s="47" t="n">
        <v>27.0123556079998</v>
      </c>
      <c r="G16" s="42" t="n">
        <v>73274368</v>
      </c>
      <c r="H16" s="77" t="n">
        <f aca="false">G16/$B$9</f>
        <v>255.932044260646</v>
      </c>
      <c r="I16" s="79" t="n">
        <f aca="false">$B$7*G16</f>
        <v>7476.94050722503</v>
      </c>
      <c r="J16" s="79" t="n">
        <f aca="false">$B$8*G16</f>
        <v>5933.19165039225</v>
      </c>
      <c r="K16" s="78" t="s">
        <v>451</v>
      </c>
      <c r="L16" s="43"/>
    </row>
    <row r="17" customFormat="false" ht="15" hidden="false" customHeight="true" outlineLevel="0" collapsed="false">
      <c r="A17" s="41" t="s">
        <v>94</v>
      </c>
      <c r="B17" s="43" t="s">
        <v>450</v>
      </c>
      <c r="C17" s="42" t="n">
        <v>213691</v>
      </c>
      <c r="D17" s="75" t="n">
        <f aca="false">GD2_Baseline!$B$3/C17</f>
        <v>4.67965426714274</v>
      </c>
      <c r="E17" s="42" t="n">
        <v>215</v>
      </c>
      <c r="F17" s="47" t="n">
        <v>27.5333781210002</v>
      </c>
      <c r="G17" s="42" t="n">
        <v>146543616</v>
      </c>
      <c r="H17" s="77" t="n">
        <f aca="false">G17/$B$9</f>
        <v>511.846205431988</v>
      </c>
      <c r="I17" s="79" t="n">
        <f aca="false">$B$7*G17</f>
        <v>14953.3585679733</v>
      </c>
      <c r="J17" s="79" t="n">
        <f aca="false">$B$8*G17</f>
        <v>11865.9687227802</v>
      </c>
      <c r="K17" s="78" t="s">
        <v>451</v>
      </c>
      <c r="L17" s="43"/>
    </row>
    <row r="19" customFormat="false" ht="15" hidden="false" customHeight="true" outlineLevel="0" collapsed="false">
      <c r="A19" s="52" t="s">
        <v>452</v>
      </c>
    </row>
    <row r="20" customFormat="false" ht="48" hidden="false" customHeight="true" outlineLevel="0" collapsed="false">
      <c r="A20" s="36" t="s">
        <v>444</v>
      </c>
      <c r="B20" s="36" t="s">
        <v>445</v>
      </c>
      <c r="C20" s="36" t="s">
        <v>98</v>
      </c>
      <c r="D20" s="36" t="s">
        <v>100</v>
      </c>
      <c r="E20" s="36" t="s">
        <v>378</v>
      </c>
      <c r="F20" s="36" t="s">
        <v>208</v>
      </c>
      <c r="G20" s="36" t="s">
        <v>126</v>
      </c>
      <c r="H20" s="36" t="s">
        <v>446</v>
      </c>
      <c r="I20" s="36" t="s">
        <v>447</v>
      </c>
      <c r="J20" s="36" t="s">
        <v>448</v>
      </c>
      <c r="K20" s="36" t="s">
        <v>449</v>
      </c>
      <c r="L20" s="36" t="s">
        <v>97</v>
      </c>
    </row>
    <row r="21" customFormat="false" ht="34.5" hidden="false" customHeight="true" outlineLevel="0" collapsed="false">
      <c r="A21" s="41" t="s">
        <v>453</v>
      </c>
      <c r="B21" s="43" t="s">
        <v>454</v>
      </c>
      <c r="C21" s="42" t="n">
        <v>216534</v>
      </c>
      <c r="D21" s="75" t="n">
        <f aca="false">GD2_Baseline!$B$3/C21</f>
        <v>4.61821238235104</v>
      </c>
      <c r="E21" s="42" t="n">
        <v>278</v>
      </c>
      <c r="F21" s="47" t="n">
        <v>160.461781872</v>
      </c>
      <c r="G21" s="42" t="n">
        <v>117609472</v>
      </c>
      <c r="H21" s="77" t="n">
        <f aca="false">G21/$B$9</f>
        <v>410.785291159048</v>
      </c>
      <c r="I21" s="79" t="n">
        <f aca="false">$B$7*G21</f>
        <v>12000.909038617</v>
      </c>
      <c r="J21" s="79" t="n">
        <f aca="false">$B$8*G21</f>
        <v>9523.105505017</v>
      </c>
      <c r="K21" s="76" t="s">
        <v>455</v>
      </c>
      <c r="L21" s="38" t="s">
        <v>456</v>
      </c>
    </row>
    <row r="22" customFormat="false" ht="15" hidden="false" customHeight="true" outlineLevel="0" collapsed="false">
      <c r="A22" s="41" t="s">
        <v>457</v>
      </c>
      <c r="B22" s="43" t="s">
        <v>454</v>
      </c>
      <c r="C22" s="42" t="n">
        <v>238128</v>
      </c>
      <c r="D22" s="75" t="n">
        <f aca="false">GD2_Baseline!$B$3/C22</f>
        <v>4.19942215951085</v>
      </c>
      <c r="E22" s="42" t="n">
        <v>602</v>
      </c>
      <c r="F22" s="47" t="n">
        <v>163.270025566</v>
      </c>
      <c r="G22" s="42" t="n">
        <v>47094784</v>
      </c>
      <c r="H22" s="77" t="n">
        <f aca="false">G22/$B$9</f>
        <v>164.492232033084</v>
      </c>
      <c r="I22" s="79" t="n">
        <f aca="false">$B$7*G22</f>
        <v>4805.56718235514</v>
      </c>
      <c r="J22" s="79" t="n">
        <f aca="false">$B$8*G22</f>
        <v>3813.37139892939</v>
      </c>
      <c r="K22" s="78" t="s">
        <v>451</v>
      </c>
      <c r="L22" s="38"/>
    </row>
    <row r="23" customFormat="false" ht="15" hidden="false" customHeight="true" outlineLevel="0" collapsed="false">
      <c r="A23" s="41" t="s">
        <v>458</v>
      </c>
      <c r="B23" s="43" t="s">
        <v>454</v>
      </c>
      <c r="C23" s="42" t="n">
        <v>258127</v>
      </c>
      <c r="D23" s="75" t="n">
        <f aca="false">GD2_Baseline!$B$3/C23</f>
        <v>3.87406199274001</v>
      </c>
      <c r="E23" s="42" t="n">
        <v>1001</v>
      </c>
      <c r="F23" s="47" t="n">
        <v>163.876370966</v>
      </c>
      <c r="G23" s="42" t="n">
        <v>24636416</v>
      </c>
      <c r="H23" s="77" t="n">
        <f aca="false">G23/$B$9</f>
        <v>86.049849111434</v>
      </c>
      <c r="I23" s="79" t="n">
        <f aca="false">$B$7*G23</f>
        <v>2513.90795678029</v>
      </c>
      <c r="J23" s="79" t="n">
        <f aca="false">$B$8*G23</f>
        <v>1994.86644097415</v>
      </c>
      <c r="K23" s="78" t="s">
        <v>451</v>
      </c>
      <c r="L23" s="38"/>
    </row>
    <row r="24" customFormat="false" ht="15" hidden="false" customHeight="true" outlineLevel="0" collapsed="false">
      <c r="A24" s="41" t="s">
        <v>459</v>
      </c>
      <c r="B24" s="43" t="s">
        <v>454</v>
      </c>
      <c r="C24" s="42" t="n">
        <v>288012</v>
      </c>
      <c r="D24" s="75" t="n">
        <f aca="false">GD2_Baseline!$B$3/C24</f>
        <v>3.47207755232421</v>
      </c>
      <c r="E24" s="42" t="n">
        <v>1193</v>
      </c>
      <c r="F24" s="47" t="n">
        <v>164.636669157</v>
      </c>
      <c r="G24" s="42" t="n">
        <v>11451392</v>
      </c>
      <c r="H24" s="77" t="n">
        <f aca="false">G24/$B$9</f>
        <v>39.9973175366045</v>
      </c>
      <c r="I24" s="79" t="n">
        <f aca="false">$B$7*G24</f>
        <v>1168.50378987797</v>
      </c>
      <c r="J24" s="79" t="n">
        <f aca="false">$B$8*G24</f>
        <v>927.245164363187</v>
      </c>
      <c r="K24" s="78" t="s">
        <v>451</v>
      </c>
      <c r="L24" s="38"/>
    </row>
    <row r="25" customFormat="false" ht="23.25" hidden="false" customHeight="true" outlineLevel="0" collapsed="false">
      <c r="A25" s="41" t="s">
        <v>460</v>
      </c>
      <c r="B25" s="43" t="s">
        <v>461</v>
      </c>
      <c r="C25" s="42" t="n">
        <v>257940</v>
      </c>
      <c r="D25" s="75" t="n">
        <f aca="false">GD2_Baseline!$B$3/C25</f>
        <v>3.8768705900597</v>
      </c>
      <c r="E25" s="42" t="n">
        <v>995</v>
      </c>
      <c r="F25" s="47" t="n">
        <v>164.291015119</v>
      </c>
      <c r="G25" s="42" t="n">
        <v>24869888</v>
      </c>
      <c r="H25" s="77" t="n">
        <f aca="false">G25/$B$9</f>
        <v>86.8653179836817</v>
      </c>
      <c r="I25" s="79" t="n">
        <f aca="false">$B$7*G25</f>
        <v>2537.73151611966</v>
      </c>
      <c r="J25" s="79" t="n">
        <f aca="false">$B$8*G25</f>
        <v>2013.77119796912</v>
      </c>
      <c r="K25" s="78" t="s">
        <v>451</v>
      </c>
      <c r="L25" s="38" t="s">
        <v>462</v>
      </c>
    </row>
    <row r="26" customFormat="false" ht="15" hidden="false" customHeight="true" outlineLevel="0" collapsed="false">
      <c r="A26" s="41" t="s">
        <v>463</v>
      </c>
      <c r="B26" s="43" t="s">
        <v>461</v>
      </c>
      <c r="C26" s="42" t="n">
        <v>284591</v>
      </c>
      <c r="D26" s="75" t="n">
        <f aca="false">GD2_Baseline!$B$3/C26</f>
        <v>3.51381456195031</v>
      </c>
      <c r="E26" s="42" t="n">
        <v>1188</v>
      </c>
      <c r="F26" s="47" t="n">
        <v>164.267893604</v>
      </c>
      <c r="G26" s="42" t="n">
        <v>12372992</v>
      </c>
      <c r="H26" s="77" t="n">
        <f aca="false">G26/$B$9</f>
        <v>43.2162736112663</v>
      </c>
      <c r="I26" s="79" t="n">
        <f aca="false">$B$7*G26</f>
        <v>1262.54415569127</v>
      </c>
      <c r="J26" s="79" t="n">
        <f aca="false">$B$8*G26</f>
        <v>1001.86920513283</v>
      </c>
      <c r="K26" s="78" t="s">
        <v>451</v>
      </c>
      <c r="L26" s="38"/>
    </row>
    <row r="27" customFormat="false" ht="15" hidden="false" customHeight="true" outlineLevel="0" collapsed="false">
      <c r="A27" s="41" t="s">
        <v>453</v>
      </c>
      <c r="B27" s="43" t="s">
        <v>461</v>
      </c>
      <c r="C27" s="42" t="n">
        <v>300358</v>
      </c>
      <c r="D27" s="75" t="n">
        <f aca="false">GD2_Baseline!$B$3/C27</f>
        <v>3.32936029671259</v>
      </c>
      <c r="E27" s="42" t="n">
        <v>1194</v>
      </c>
      <c r="F27" s="47" t="n">
        <v>164.42520914</v>
      </c>
      <c r="G27" s="42" t="n">
        <v>9178112</v>
      </c>
      <c r="H27" s="77" t="n">
        <f aca="false">G27/$B$9</f>
        <v>32.0572258857718</v>
      </c>
      <c r="I27" s="79" t="n">
        <f aca="false">$B$7*G27</f>
        <v>936.537554205151</v>
      </c>
      <c r="J27" s="79" t="n">
        <f aca="false">$B$8*G27</f>
        <v>743.172530464745</v>
      </c>
      <c r="K27" s="78" t="s">
        <v>451</v>
      </c>
      <c r="L27" s="38" t="s">
        <v>464</v>
      </c>
    </row>
    <row r="28" customFormat="false" ht="23.25" hidden="false" customHeight="true" outlineLevel="0" collapsed="false">
      <c r="A28" s="41" t="s">
        <v>465</v>
      </c>
      <c r="B28" s="43" t="s">
        <v>461</v>
      </c>
      <c r="C28" s="42" t="n">
        <v>300576</v>
      </c>
      <c r="D28" s="75" t="n">
        <f aca="false">GD2_Baseline!$B$3/C28</f>
        <v>3.32694559778559</v>
      </c>
      <c r="E28" s="42" t="n">
        <v>1194</v>
      </c>
      <c r="F28" s="47" t="n">
        <v>164.600718117001</v>
      </c>
      <c r="G28" s="42" t="n">
        <v>9161728</v>
      </c>
      <c r="H28" s="77" t="n">
        <f aca="false">G28/$B$9</f>
        <v>32</v>
      </c>
      <c r="I28" s="79" t="n">
        <f aca="false">$B$7*G28</f>
        <v>934.865725479581</v>
      </c>
      <c r="J28" s="79" t="n">
        <f aca="false">$B$8*G28</f>
        <v>741.845880851063</v>
      </c>
      <c r="K28" s="78" t="s">
        <v>451</v>
      </c>
      <c r="L28" s="38" t="s">
        <v>466</v>
      </c>
    </row>
    <row r="29" customFormat="false" ht="23.25" hidden="false" customHeight="true" outlineLevel="0" collapsed="false">
      <c r="A29" s="41" t="s">
        <v>467</v>
      </c>
      <c r="B29" s="43" t="s">
        <v>461</v>
      </c>
      <c r="C29" s="42" t="n">
        <v>300576</v>
      </c>
      <c r="D29" s="75" t="n">
        <f aca="false">GD2_Baseline!$B$3/C29</f>
        <v>3.32694559778559</v>
      </c>
      <c r="E29" s="42" t="n">
        <v>1194</v>
      </c>
      <c r="F29" s="47" t="n">
        <v>165.126093441</v>
      </c>
      <c r="G29" s="42" t="n">
        <v>9161728</v>
      </c>
      <c r="H29" s="77" t="n">
        <f aca="false">G29/$B$9</f>
        <v>32</v>
      </c>
      <c r="I29" s="79" t="n">
        <f aca="false">$B$7*G29</f>
        <v>934.865725479581</v>
      </c>
      <c r="J29" s="79" t="n">
        <f aca="false">$B$8*G29</f>
        <v>741.845880851063</v>
      </c>
      <c r="K29" s="78" t="s">
        <v>451</v>
      </c>
      <c r="L29" s="38" t="s">
        <v>466</v>
      </c>
    </row>
    <row r="30" customFormat="false" ht="27.75" hidden="false" customHeight="true" outlineLevel="0" collapsed="false">
      <c r="A30" s="32" t="s">
        <v>468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</row>
    <row r="32" customFormat="false" ht="15" hidden="false" customHeight="true" outlineLevel="0" collapsed="false">
      <c r="A32" s="52" t="s">
        <v>469</v>
      </c>
    </row>
    <row r="33" customFormat="false" ht="48" hidden="false" customHeight="true" outlineLevel="0" collapsed="false">
      <c r="A33" s="36" t="s">
        <v>470</v>
      </c>
      <c r="B33" s="36" t="s">
        <v>446</v>
      </c>
      <c r="C33" s="36" t="s">
        <v>98</v>
      </c>
      <c r="D33" s="36" t="s">
        <v>471</v>
      </c>
      <c r="E33" s="36" t="s">
        <v>472</v>
      </c>
      <c r="F33" s="36" t="s">
        <v>473</v>
      </c>
      <c r="G33" s="36" t="s">
        <v>472</v>
      </c>
      <c r="H33" s="36" t="s">
        <v>474</v>
      </c>
      <c r="I33" s="36" t="s">
        <v>472</v>
      </c>
      <c r="J33" s="36" t="s">
        <v>475</v>
      </c>
      <c r="K33" s="36" t="s">
        <v>476</v>
      </c>
      <c r="L33" s="36" t="s">
        <v>477</v>
      </c>
      <c r="M33" s="36" t="s">
        <v>478</v>
      </c>
      <c r="N33" s="36" t="s">
        <v>97</v>
      </c>
    </row>
    <row r="34" customFormat="false" ht="15" hidden="false" customHeight="true" outlineLevel="0" collapsed="false">
      <c r="A34" s="41" t="s">
        <v>479</v>
      </c>
      <c r="B34" s="77" t="n">
        <f aca="false">H21</f>
        <v>410.785291159048</v>
      </c>
      <c r="C34" s="50" t="n">
        <f aca="false">C21</f>
        <v>216534</v>
      </c>
      <c r="D34" s="50" t="n">
        <f aca="false">$C$16+(B34-$H$16)/($H$17-$H$16)*($C$17-$C$16)</f>
        <v>219344.016547406</v>
      </c>
      <c r="E34" s="45" t="n">
        <f aca="false">C34/D34-1</f>
        <v>-0.0128110016021283</v>
      </c>
      <c r="F34" s="50" t="n">
        <f aca="false">$C$16+(LOG(B34,2)-LOG($H$16,2))/(LOG($H$17,2)-LOG($H$16,2))*($C$17-$C$16)</f>
        <v>218233.748716332</v>
      </c>
      <c r="G34" s="45" t="n">
        <f aca="false">C34/F34-1</f>
        <v>-0.00778866113206722</v>
      </c>
      <c r="H34" s="50" t="n">
        <f aca="false">$C$15*(LOG(B34,2)-LOG($H$16,2))*(LOG(B34,2)-LOG($H$17,2))/((LOG($H$15,2)-LOG($H$16,2))*(LOG($H$15,2)-LOG($H$17,2)))+$C$16*(LOG(B34,2)-LOG($H$15,2))*(LOG(B34,2)-LOG($H$17,2))/((LOG($H$16,2)-LOG($H$15,2))*(LOG($H$16,2)-LOG($H$17,2)))+$C$17*(LOG(B34,2)-LOG($H$15,2))*(LOG(B34,2)-LOG($H$16,2))/((LOG($H$17,2)-LOG($H$15,2))*(LOG($H$17,2)-LOG($H$16,2)))</f>
        <v>217729.412137557</v>
      </c>
      <c r="I34" s="45" t="n">
        <f aca="false">C34/H34-1</f>
        <v>-0.00549035670385945</v>
      </c>
      <c r="J34" s="77" t="n">
        <f aca="false">2^(LOG($H$16,2)+($C$16-C34)/($C$16-$C$17)*(LOG($H$17,2)-LOG($H$16,2)))</f>
        <v>446.022822985817</v>
      </c>
      <c r="K34" s="48" t="n">
        <f aca="false">1-B34/J34</f>
        <v>0.0790038760592525</v>
      </c>
      <c r="L34" s="77" t="n">
        <f aca="false">$H$16+($C$16-C34)/($C$16-$C$17)*($H$17-$H$16)</f>
        <v>461.020920052308</v>
      </c>
      <c r="M34" s="48" t="n">
        <f aca="false">1-B34/L34</f>
        <v>0.108966050580873</v>
      </c>
      <c r="N34" s="43"/>
    </row>
    <row r="35" customFormat="false" ht="15" hidden="false" customHeight="true" outlineLevel="0" collapsed="false">
      <c r="A35" s="41" t="s">
        <v>480</v>
      </c>
      <c r="B35" s="77" t="n">
        <f aca="false">H22</f>
        <v>164.492232033084</v>
      </c>
      <c r="C35" s="50" t="n">
        <f aca="false">C22</f>
        <v>238128</v>
      </c>
      <c r="D35" s="50" t="n">
        <f aca="false">$C$15+(B35-$H$15)/($H$16-$H$15)*($C$16-$C$15)</f>
        <v>241562.211426655</v>
      </c>
      <c r="E35" s="45" t="n">
        <f aca="false">C35/D35-1</f>
        <v>-0.0142166748945228</v>
      </c>
      <c r="F35" s="50" t="n">
        <f aca="false">$C$15+(LOG(B35,2)-LOG($H$15,2))/(LOG($H$16,2)-LOG($H$15,2))*($C$16-$C$15)</f>
        <v>240105.172808059</v>
      </c>
      <c r="G35" s="45" t="n">
        <f aca="false">C35/F35-1</f>
        <v>-0.00823461146186766</v>
      </c>
      <c r="H35" s="50" t="n">
        <f aca="false">$C$14*(LOG(B35,2)-LOG($H$15,2))*(LOG(B35,2)-LOG($H$16,2))/((LOG($H$14,2)-LOG($H$15,2))*(LOG($H$14,2)-LOG($H$16,2)))+$C$15*(LOG(B35,2)-LOG($H$14,2))*(LOG(B35,2)-LOG($H$16,2))/((LOG($H$15,2)-LOG($H$14,2))*(LOG($H$15,2)-LOG($H$16,2)))+$C$16*(LOG(B35,2)-LOG($H$14,2))*(LOG(B35,2)-LOG($H$15,2))/((LOG($H$16,2)-LOG($H$14,2))*(LOG($H$16,2)-LOG($H$15,2)))</f>
        <v>239439.774698215</v>
      </c>
      <c r="I35" s="45" t="n">
        <f aca="false">C35/H35-1</f>
        <v>-0.00547851625682516</v>
      </c>
      <c r="J35" s="77" t="n">
        <f aca="false">2^(LOG($H$15,2)+($C$15-C35)/($C$15-$C$16)*(LOG($H$16,2)-LOG($H$15,2)))</f>
        <v>176.814334983312</v>
      </c>
      <c r="K35" s="48" t="n">
        <f aca="false">1-B35/J35</f>
        <v>0.0696895019930988</v>
      </c>
      <c r="L35" s="77" t="n">
        <f aca="false">$H$15+($C$15-C35)/($C$15-$C$16)*($H$16-$H$15)</f>
        <v>187.656790191686</v>
      </c>
      <c r="M35" s="48" t="n">
        <f aca="false">1-B35/L35</f>
        <v>0.123441086970212</v>
      </c>
      <c r="N35" s="43"/>
    </row>
    <row r="36" customFormat="false" ht="15" hidden="false" customHeight="true" outlineLevel="0" collapsed="false">
      <c r="A36" s="41" t="s">
        <v>481</v>
      </c>
      <c r="B36" s="77" t="n">
        <f aca="false">H23</f>
        <v>86.049849111434</v>
      </c>
      <c r="C36" s="50" t="n">
        <f aca="false">C23</f>
        <v>258127</v>
      </c>
      <c r="D36" s="50" t="n">
        <f aca="false">$C$14+(B36-$H$14)/($H$15-$H$14)*($C$15-$C$14)</f>
        <v>263180.249552773</v>
      </c>
      <c r="E36" s="45" t="n">
        <f aca="false">C36/D36-1</f>
        <v>-0.0192007172322386</v>
      </c>
      <c r="F36" s="50" t="n">
        <f aca="false">$C$14+(LOG(B36,2)-LOG($H$14,2))/(LOG($H$15,2)-LOG($H$14,2))*($C$15-$C$14)</f>
        <v>261138.528874936</v>
      </c>
      <c r="G36" s="45" t="n">
        <f aca="false">C36/F36-1</f>
        <v>-0.0115323038998139</v>
      </c>
      <c r="H36" s="50" t="n">
        <f aca="false">$C$13*(LOG(B36,2)-LOG($H$14,2))*(LOG(B36,2)-LOG($H$15,2))/((LOG($H$13,2)-LOG($H$14,2))*(LOG($H$13,2)-LOG($H$15,2)))+$C$14*(LOG(B36,2)-LOG($H$13,2))*(LOG(B36,2)-LOG($H$15,2))/((LOG($H$14,2)-LOG($H$13,2))*(LOG($H$14,2)-LOG($H$15,2)))+$C$15*(LOG(B36,2)-LOG($H$13,2))*(LOG(B36,2)-LOG($H$14,2))/((LOG($H$15,2)-LOG($H$13,2))*(LOG($H$15,2)-LOG($H$14,2)))</f>
        <v>260631.947770024</v>
      </c>
      <c r="I36" s="45" t="n">
        <f aca="false">C36/H36-1</f>
        <v>-0.00961105417603869</v>
      </c>
      <c r="J36" s="77" t="n">
        <f aca="false">2^(LOG($H$14,2)+($C$14-C36)/($C$14-$C$15)*(LOG($H$15,2)-LOG($H$14,2)))</f>
        <v>93.6276274897778</v>
      </c>
      <c r="K36" s="48" t="n">
        <f aca="false">1-B36/J36</f>
        <v>0.080935281406881</v>
      </c>
      <c r="L36" s="77" t="n">
        <f aca="false">$H$14+($C$14-C36)/($C$14-$C$15)*($H$15-$H$14)</f>
        <v>99.1240779258075</v>
      </c>
      <c r="M36" s="48" t="n">
        <f aca="false">1-B36/L36</f>
        <v>0.13189760841114</v>
      </c>
      <c r="N36" s="43"/>
    </row>
    <row r="37" customFormat="false" ht="15" hidden="false" customHeight="true" outlineLevel="0" collapsed="false">
      <c r="A37" s="41" t="s">
        <v>482</v>
      </c>
      <c r="B37" s="77" t="n">
        <f aca="false">H24</f>
        <v>39.9973175366045</v>
      </c>
      <c r="C37" s="50" t="n">
        <f aca="false">C24</f>
        <v>288012</v>
      </c>
      <c r="D37" s="50" t="n">
        <f aca="false">$C$13+(B37-$H$13)/($H$14-$H$13)*($C$14-$C$13)</f>
        <v>293359.613682093</v>
      </c>
      <c r="E37" s="45" t="n">
        <f aca="false">C37/D37-1</f>
        <v>-0.0182288680264205</v>
      </c>
      <c r="F37" s="50" t="n">
        <f aca="false">$C$13+(LOG(B37,2)-LOG($H$13,2))/(LOG($H$14,2)-LOG($H$13,2))*($C$14-$C$13)</f>
        <v>291283.336249789</v>
      </c>
      <c r="G37" s="45" t="n">
        <f aca="false">C37/F37-1</f>
        <v>-0.01123077032798</v>
      </c>
      <c r="H37" s="50" t="n">
        <f aca="false">$C$13*(LOG(B37,2)-LOG($H$14,2))*(LOG(B37,2)-LOG($H$15,2))/((LOG($H$13,2)-LOG($H$14,2))*(LOG($H$13,2)-LOG($H$15,2)))+$C$14*(LOG(B37,2)-LOG($H$13,2))*(LOG(B37,2)-LOG($H$15,2))/((LOG($H$14,2)-LOG($H$13,2))*(LOG($H$14,2)-LOG($H$15,2)))+$C$15*(LOG(B37,2)-LOG($H$13,2))*(LOG(B37,2)-LOG($H$14,2))/((LOG($H$15,2)-LOG($H$13,2))*(LOG($H$15,2)-LOG($H$14,2)))</f>
        <v>290831.389961504</v>
      </c>
      <c r="I37" s="45" t="n">
        <f aca="false">C37/H37-1</f>
        <v>-0.0096942422957752</v>
      </c>
      <c r="J37" s="77" t="n">
        <f aca="false">2^(LOG($H$13,2)+($C$13-C37)/($C$13-$C$14)*(LOG($H$14,2)-LOG($H$13,2)))</f>
        <v>43.2649553613566</v>
      </c>
      <c r="K37" s="48" t="n">
        <f aca="false">1-B37/J37</f>
        <v>0.0755262035395682</v>
      </c>
      <c r="L37" s="77" t="n">
        <f aca="false">$H$13+($C$13-C37)/($C$13-$C$14)*($H$14-$H$13)</f>
        <v>45.9236306238985</v>
      </c>
      <c r="M37" s="48" t="n">
        <f aca="false">1-B37/L37</f>
        <v>0.129047137754174</v>
      </c>
      <c r="N37" s="43"/>
    </row>
    <row r="38" customFormat="false" ht="15" hidden="false" customHeight="true" outlineLevel="0" collapsed="false">
      <c r="A38" s="41" t="s">
        <v>483</v>
      </c>
      <c r="B38" s="77" t="n">
        <f aca="false">H25</f>
        <v>86.8653179836817</v>
      </c>
      <c r="C38" s="50" t="n">
        <f aca="false">C25</f>
        <v>257940</v>
      </c>
      <c r="D38" s="50" t="n">
        <f aca="false">$C$14+(B38-$H$14)/($H$15-$H$14)*($C$15-$C$14)</f>
        <v>262865.067084079</v>
      </c>
      <c r="E38" s="45" t="n">
        <f aca="false">C38/D38-1</f>
        <v>-0.0187361034264147</v>
      </c>
      <c r="F38" s="50" t="n">
        <f aca="false">$C$14+(LOG(B38,2)-LOG($H$14,2))/(LOG($H$15,2)-LOG($H$14,2))*($C$15-$C$14)</f>
        <v>260801.971894588</v>
      </c>
      <c r="G38" s="45" t="n">
        <f aca="false">C38/F38-1</f>
        <v>-0.010973735642402</v>
      </c>
      <c r="H38" s="50" t="n">
        <f aca="false">$C$13*(LOG(B38,2)-LOG($H$14,2))*(LOG(B38,2)-LOG($H$15,2))/((LOG($H$13,2)-LOG($H$14,2))*(LOG($H$13,2)-LOG($H$15,2)))+$C$14*(LOG(B38,2)-LOG($H$13,2))*(LOG(B38,2)-LOG($H$15,2))/((LOG($H$14,2)-LOG($H$13,2))*(LOG($H$14,2)-LOG($H$15,2)))+$C$15*(LOG(B38,2)-LOG($H$13,2))*(LOG(B38,2)-LOG($H$14,2))/((LOG($H$15,2)-LOG($H$13,2))*(LOG($H$15,2)-LOG($H$14,2)))</f>
        <v>260291.675760571</v>
      </c>
      <c r="I38" s="45" t="n">
        <f aca="false">C38/H38-1</f>
        <v>-0.00903477129531383</v>
      </c>
      <c r="J38" s="77" t="n">
        <f aca="false">2^(LOG($H$14,2)+($C$14-C38)/($C$14-$C$15)*(LOG($H$15,2)-LOG($H$14,2)))</f>
        <v>94.1195911692936</v>
      </c>
      <c r="K38" s="48" t="n">
        <f aca="false">1-B38/J38</f>
        <v>0.0770750605212854</v>
      </c>
      <c r="L38" s="77" t="n">
        <f aca="false">$H$14+($C$14-C38)/($C$14-$C$15)*($H$15-$H$14)</f>
        <v>99.6079014066697</v>
      </c>
      <c r="M38" s="48" t="n">
        <f aca="false">1-B38/L38</f>
        <v>0.127927435906554</v>
      </c>
      <c r="N38" s="43"/>
    </row>
    <row r="39" customFormat="false" ht="15" hidden="false" customHeight="true" outlineLevel="0" collapsed="false">
      <c r="A39" s="41" t="s">
        <v>484</v>
      </c>
      <c r="B39" s="77" t="n">
        <f aca="false">H26</f>
        <v>43.2162736112663</v>
      </c>
      <c r="C39" s="50" t="n">
        <f aca="false">C26</f>
        <v>284591</v>
      </c>
      <c r="D39" s="50" t="n">
        <f aca="false">$C$13+(B39-$H$13)/($H$14-$H$13)*($C$14-$C$13)</f>
        <v>290454.985915493</v>
      </c>
      <c r="E39" s="45" t="n">
        <f aca="false">C39/D39-1</f>
        <v>-0.0201889662765131</v>
      </c>
      <c r="F39" s="50" t="n">
        <f aca="false">$C$13+(LOG(B39,2)-LOG($H$13,2))/(LOG($H$14,2)-LOG($H$13,2))*($C$14-$C$13)</f>
        <v>288058.898699142</v>
      </c>
      <c r="G39" s="45" t="n">
        <f aca="false">C39/F39-1</f>
        <v>-0.0120388528693348</v>
      </c>
      <c r="H39" s="50" t="n">
        <f aca="false">$C$13*(LOG(B39,2)-LOG($H$14,2))*(LOG(B39,2)-LOG($H$15,2))/((LOG($H$13,2)-LOG($H$14,2))*(LOG($H$13,2)-LOG($H$15,2)))+$C$14*(LOG(B39,2)-LOG($H$13,2))*(LOG(B39,2)-LOG($H$15,2))/((LOG($H$14,2)-LOG($H$13,2))*(LOG($H$14,2)-LOG($H$15,2)))+$C$15*(LOG(B39,2)-LOG($H$13,2))*(LOG(B39,2)-LOG($H$14,2))/((LOG($H$15,2)-LOG($H$13,2))*(LOG($H$15,2)-LOG($H$14,2)))</f>
        <v>287550.387804616</v>
      </c>
      <c r="I39" s="45" t="n">
        <f aca="false">C39/H39-1</f>
        <v>-0.0102917190521283</v>
      </c>
      <c r="J39" s="77" t="n">
        <f aca="false">2^(LOG($H$13,2)+($C$13-C39)/($C$13-$C$14)*(LOG($H$14,2)-LOG($H$13,2)))</f>
        <v>46.9679902329502</v>
      </c>
      <c r="K39" s="48" t="n">
        <f aca="false">1-B39/J39</f>
        <v>0.0798781596375792</v>
      </c>
      <c r="L39" s="77" t="n">
        <f aca="false">$H$13+($C$13-C39)/($C$13-$C$14)*($H$14-$H$13)</f>
        <v>49.7148388668432</v>
      </c>
      <c r="M39" s="48" t="n">
        <f aca="false">1-B39/L39</f>
        <v>0.130716812197313</v>
      </c>
      <c r="N39" s="43"/>
    </row>
    <row r="40" customFormat="false" ht="15" hidden="false" customHeight="true" outlineLevel="0" collapsed="false">
      <c r="A40" s="41" t="s">
        <v>485</v>
      </c>
      <c r="B40" s="77" t="n">
        <f aca="false">H27</f>
        <v>32.0572258857718</v>
      </c>
      <c r="C40" s="50" t="n">
        <f aca="false">C27</f>
        <v>300358</v>
      </c>
      <c r="D40" s="50" t="n">
        <f aca="false">$C$13+(B40-$H$13)/($H$14-$H$13)*($C$14-$C$13)</f>
        <v>300524.362173038</v>
      </c>
      <c r="E40" s="45" t="n">
        <f aca="false">C40/D40-1</f>
        <v>-0.00055357300098835</v>
      </c>
      <c r="F40" s="50" t="n">
        <f aca="false">$C$13+(LOG(B40,2)-LOG($H$13,2))/(LOG($H$14,2)-LOG($H$13,2))*($C$14-$C$13)</f>
        <v>300501.571214366</v>
      </c>
      <c r="G40" s="45" t="n">
        <f aca="false">C40/F40-1</f>
        <v>-0.000477771925736725</v>
      </c>
      <c r="H40" s="50" t="n">
        <f aca="false">$C$13*(LOG(B40,2)-LOG($H$14,2))*(LOG(B40,2)-LOG($H$15,2))/((LOG($H$13,2)-LOG($H$14,2))*(LOG($H$13,2)-LOG($H$15,2)))+$C$14*(LOG(B40,2)-LOG($H$13,2))*(LOG(B40,2)-LOG($H$15,2))/((LOG($H$14,2)-LOG($H$13,2))*(LOG($H$14,2)-LOG($H$15,2)))+$C$15*(LOG(B40,2)-LOG($H$13,2))*(LOG(B40,2)-LOG($H$14,2))/((LOG($H$15,2)-LOG($H$13,2))*(LOG($H$15,2)-LOG($H$14,2)))</f>
        <v>300496.247123849</v>
      </c>
      <c r="I40" s="45" t="n">
        <f aca="false">C40/H40-1</f>
        <v>-0.000460062730141431</v>
      </c>
      <c r="J40" s="77" t="n">
        <f aca="false">2^(LOG($H$13,2)+($C$13-C40)/($C$13-$C$14)*(LOG($H$14,2)-LOG($H$13,2)))</f>
        <v>32.1679024078984</v>
      </c>
      <c r="K40" s="48" t="n">
        <f aca="false">1-B40/J40</f>
        <v>0.00344058871863184</v>
      </c>
      <c r="L40" s="77" t="n">
        <f aca="false">$H$13+($C$13-C40)/($C$13-$C$14)*($H$14-$H$13)</f>
        <v>32.2415911712838</v>
      </c>
      <c r="M40" s="48" t="n">
        <f aca="false">1-B40/L40</f>
        <v>0.00571824400764243</v>
      </c>
      <c r="N40" s="43" t="s">
        <v>486</v>
      </c>
    </row>
    <row r="41" customFormat="false" ht="48" hidden="false" customHeight="true" outlineLevel="0" collapsed="false">
      <c r="A41" s="32" t="s">
        <v>487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</row>
    <row r="43" customFormat="false" ht="15" hidden="false" customHeight="true" outlineLevel="0" collapsed="false">
      <c r="A43" s="52" t="s">
        <v>488</v>
      </c>
    </row>
    <row r="44" customFormat="false" ht="15" hidden="false" customHeight="true" outlineLevel="0" collapsed="false">
      <c r="A44" s="53" t="s">
        <v>489</v>
      </c>
      <c r="B44" s="50" t="n">
        <f aca="false">C23</f>
        <v>258127</v>
      </c>
      <c r="C44" s="81" t="n">
        <f aca="false">H23</f>
        <v>86.049849111434</v>
      </c>
    </row>
    <row r="45" customFormat="false" ht="15" hidden="false" customHeight="true" outlineLevel="0" collapsed="false">
      <c r="A45" s="53" t="s">
        <v>490</v>
      </c>
      <c r="B45" s="50" t="n">
        <f aca="false">C25</f>
        <v>257940</v>
      </c>
      <c r="C45" s="81" t="n">
        <f aca="false">H25</f>
        <v>86.8653179836817</v>
      </c>
    </row>
    <row r="46" customFormat="false" ht="15" hidden="false" customHeight="true" outlineLevel="0" collapsed="false">
      <c r="A46" s="53" t="s">
        <v>491</v>
      </c>
      <c r="B46" s="50" t="n">
        <f aca="false">B45-B44</f>
        <v>-187</v>
      </c>
    </row>
    <row r="47" customFormat="false" ht="23.25" hidden="false" customHeight="true" outlineLevel="0" collapsed="false">
      <c r="A47" s="53" t="s">
        <v>492</v>
      </c>
      <c r="B47" s="50" t="n">
        <f aca="false">(C14-C15)/(H15-H14)*(C45-C44)</f>
        <v>315.182468694095</v>
      </c>
    </row>
    <row r="48" customFormat="false" ht="15" hidden="false" customHeight="true" outlineLevel="0" collapsed="false">
      <c r="A48" s="53" t="s">
        <v>493</v>
      </c>
      <c r="B48" s="50" t="n">
        <f aca="false">-B46</f>
        <v>187</v>
      </c>
    </row>
    <row r="49" customFormat="false" ht="15" hidden="false" customHeight="true" outlineLevel="0" collapsed="false">
      <c r="A49" s="53" t="s">
        <v>494</v>
      </c>
      <c r="B49" s="50" t="n">
        <f aca="false">B48-B47</f>
        <v>-128.182468694095</v>
      </c>
    </row>
    <row r="50" customFormat="false" ht="30" hidden="false" customHeight="true" outlineLevel="0" collapsed="false">
      <c r="A50" s="32" t="s">
        <v>495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</row>
    <row r="52" customFormat="false" ht="15" hidden="false" customHeight="true" outlineLevel="0" collapsed="false">
      <c r="A52" s="52" t="s">
        <v>496</v>
      </c>
    </row>
    <row r="53" customFormat="false" ht="48" hidden="false" customHeight="true" outlineLevel="0" collapsed="false">
      <c r="A53" s="36" t="s">
        <v>454</v>
      </c>
      <c r="B53" s="36" t="s">
        <v>497</v>
      </c>
      <c r="C53" s="36" t="s">
        <v>498</v>
      </c>
      <c r="D53" s="36" t="s">
        <v>499</v>
      </c>
      <c r="E53" s="36" t="s">
        <v>500</v>
      </c>
      <c r="F53" s="36" t="s">
        <v>501</v>
      </c>
      <c r="G53" s="36" t="s">
        <v>446</v>
      </c>
    </row>
    <row r="54" customFormat="false" ht="15" hidden="false" customHeight="true" outlineLevel="0" collapsed="false">
      <c r="A54" s="41" t="s">
        <v>390</v>
      </c>
      <c r="B54" s="42" t="n">
        <v>1260553.08329773</v>
      </c>
      <c r="C54" s="50" t="n">
        <f aca="false">B54/8</f>
        <v>157569.135412216</v>
      </c>
      <c r="D54" s="42" t="n">
        <v>216256</v>
      </c>
      <c r="E54" s="50" t="n">
        <f aca="false">C21</f>
        <v>216534</v>
      </c>
      <c r="F54" s="44" t="n">
        <f aca="false">E54/C54</f>
        <v>1.37421582871243</v>
      </c>
      <c r="G54" s="77" t="n">
        <f aca="false">H21</f>
        <v>410.785291159048</v>
      </c>
    </row>
    <row r="55" customFormat="false" ht="15" hidden="false" customHeight="true" outlineLevel="0" collapsed="false">
      <c r="A55" s="41" t="s">
        <v>394</v>
      </c>
      <c r="B55" s="42" t="n">
        <v>1407512.00906372</v>
      </c>
      <c r="C55" s="50" t="n">
        <f aca="false">B55/8</f>
        <v>175939.001132965</v>
      </c>
      <c r="D55" s="42" t="n">
        <v>237526</v>
      </c>
      <c r="E55" s="50" t="n">
        <f aca="false">C22</f>
        <v>238128</v>
      </c>
      <c r="F55" s="44" t="n">
        <f aca="false">E55/C55</f>
        <v>1.35346909137012</v>
      </c>
      <c r="G55" s="77" t="n">
        <f aca="false">H22</f>
        <v>164.492232033084</v>
      </c>
    </row>
    <row r="56" customFormat="false" ht="15" hidden="false" customHeight="true" outlineLevel="0" collapsed="false">
      <c r="A56" s="41" t="s">
        <v>397</v>
      </c>
      <c r="B56" s="42" t="n">
        <v>1557720.5815506</v>
      </c>
      <c r="C56" s="50" t="n">
        <f aca="false">B56/8</f>
        <v>194715.072693825</v>
      </c>
      <c r="D56" s="42" t="n">
        <v>257126</v>
      </c>
      <c r="E56" s="50" t="n">
        <f aca="false">C23</f>
        <v>258127</v>
      </c>
      <c r="F56" s="44" t="n">
        <f aca="false">E56/C56</f>
        <v>1.32566522164355</v>
      </c>
      <c r="G56" s="77" t="n">
        <f aca="false">H23</f>
        <v>86.049849111434</v>
      </c>
    </row>
    <row r="57" customFormat="false" ht="15" hidden="false" customHeight="true" outlineLevel="0" collapsed="false">
      <c r="A57" s="41" t="s">
        <v>398</v>
      </c>
      <c r="B57" s="42" t="n">
        <v>1803641.90518189</v>
      </c>
      <c r="C57" s="50" t="n">
        <f aca="false">B57/8</f>
        <v>225455.238147736</v>
      </c>
      <c r="D57" s="42" t="n">
        <v>286819</v>
      </c>
      <c r="E57" s="50" t="n">
        <f aca="false">C24</f>
        <v>288012</v>
      </c>
      <c r="F57" s="44" t="n">
        <f aca="false">E57/C57</f>
        <v>1.27746865571281</v>
      </c>
      <c r="G57" s="77" t="n">
        <f aca="false">H24</f>
        <v>39.9973175366045</v>
      </c>
    </row>
    <row r="58" customFormat="false" ht="42" hidden="false" customHeight="true" outlineLevel="0" collapsed="false">
      <c r="A58" s="32" t="s">
        <v>502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</row>
    <row r="60" customFormat="false" ht="15" hidden="false" customHeight="true" outlineLevel="0" collapsed="false">
      <c r="A60" s="52" t="s">
        <v>503</v>
      </c>
    </row>
    <row r="61" customFormat="false" ht="48" hidden="false" customHeight="true" outlineLevel="0" collapsed="false">
      <c r="A61" s="36" t="s">
        <v>470</v>
      </c>
      <c r="B61" s="36" t="s">
        <v>504</v>
      </c>
      <c r="C61" s="36" t="s">
        <v>505</v>
      </c>
      <c r="D61" s="36" t="s">
        <v>506</v>
      </c>
      <c r="E61" s="36" t="s">
        <v>446</v>
      </c>
      <c r="F61" s="36" t="s">
        <v>507</v>
      </c>
      <c r="G61" s="36" t="s">
        <v>508</v>
      </c>
      <c r="H61" s="36" t="s">
        <v>509</v>
      </c>
      <c r="I61" s="36" t="s">
        <v>510</v>
      </c>
      <c r="J61" s="36" t="s">
        <v>511</v>
      </c>
      <c r="K61" s="36" t="s">
        <v>512</v>
      </c>
    </row>
    <row r="62" customFormat="false" ht="15" hidden="false" customHeight="true" outlineLevel="0" collapsed="false">
      <c r="A62" s="41" t="s">
        <v>479</v>
      </c>
      <c r="B62" s="62" t="n">
        <f aca="false">F21</f>
        <v>160.461781872</v>
      </c>
      <c r="C62" s="62" t="n">
        <f aca="false">AVERAGE($F$13:$F$17)</f>
        <v>27.5123195550001</v>
      </c>
      <c r="D62" s="62" t="n">
        <f aca="false">B62-C62</f>
        <v>132.949462317</v>
      </c>
      <c r="E62" s="77" t="n">
        <f aca="false">B34</f>
        <v>410.785291159048</v>
      </c>
      <c r="F62" s="77" t="n">
        <f aca="false">J34</f>
        <v>446.022822985817</v>
      </c>
      <c r="G62" s="50" t="n">
        <f aca="false">$B$7*$B$9*(F62-E62)</f>
        <v>1029.44877360446</v>
      </c>
      <c r="H62" s="50" t="n">
        <f aca="false">G62-D62</f>
        <v>896.499311287457</v>
      </c>
      <c r="I62" s="50" t="n">
        <f aca="false">$B$8*$B$9*(F62-E62)</f>
        <v>816.900557407723</v>
      </c>
      <c r="J62" s="50" t="n">
        <f aca="false">I62-D62</f>
        <v>683.951095090723</v>
      </c>
      <c r="K62" s="37" t="str">
        <f aca="false">IF(H62&gt;0,"có lợi","KHÔNG lợi")</f>
        <v>có lợi</v>
      </c>
    </row>
    <row r="63" customFormat="false" ht="15" hidden="false" customHeight="true" outlineLevel="0" collapsed="false">
      <c r="A63" s="41" t="s">
        <v>480</v>
      </c>
      <c r="B63" s="62" t="n">
        <f aca="false">F22</f>
        <v>163.270025566</v>
      </c>
      <c r="C63" s="62" t="n">
        <f aca="false">AVERAGE($F$13:$F$17)</f>
        <v>27.5123195550001</v>
      </c>
      <c r="D63" s="62" t="n">
        <f aca="false">B63-C63</f>
        <v>135.757706011</v>
      </c>
      <c r="E63" s="77" t="n">
        <f aca="false">B35</f>
        <v>164.492232033084</v>
      </c>
      <c r="F63" s="77" t="n">
        <f aca="false">J35</f>
        <v>176.814334983312</v>
      </c>
      <c r="G63" s="50" t="n">
        <f aca="false">$B$7*$B$9*(F63-E63)</f>
        <v>359.984741062466</v>
      </c>
      <c r="H63" s="50" t="n">
        <f aca="false">G63-D63</f>
        <v>224.227035051466</v>
      </c>
      <c r="I63" s="50" t="n">
        <f aca="false">$B$8*$B$9*(F63-E63)</f>
        <v>285.659416157791</v>
      </c>
      <c r="J63" s="50" t="n">
        <f aca="false">I63-D63</f>
        <v>149.901710146791</v>
      </c>
      <c r="K63" s="37" t="str">
        <f aca="false">IF(H63&gt;0,"có lợi","KHÔNG lợi")</f>
        <v>có lợi</v>
      </c>
    </row>
    <row r="64" customFormat="false" ht="15" hidden="false" customHeight="true" outlineLevel="0" collapsed="false">
      <c r="A64" s="41" t="s">
        <v>481</v>
      </c>
      <c r="B64" s="62" t="n">
        <f aca="false">F23</f>
        <v>163.876370966</v>
      </c>
      <c r="C64" s="62" t="n">
        <f aca="false">AVERAGE($F$13:$F$17)</f>
        <v>27.5123195550001</v>
      </c>
      <c r="D64" s="62" t="n">
        <f aca="false">B64-C64</f>
        <v>136.364051411</v>
      </c>
      <c r="E64" s="77" t="n">
        <f aca="false">B36</f>
        <v>86.049849111434</v>
      </c>
      <c r="F64" s="77" t="n">
        <f aca="false">J36</f>
        <v>93.6276274897778</v>
      </c>
      <c r="G64" s="50" t="n">
        <f aca="false">$B$7*$B$9*(F64-E64)</f>
        <v>221.381415037308</v>
      </c>
      <c r="H64" s="50" t="n">
        <f aca="false">G64-D64</f>
        <v>85.017363626308</v>
      </c>
      <c r="I64" s="50" t="n">
        <f aca="false">$B$8*$B$9*(F64-E64)</f>
        <v>175.673239874268</v>
      </c>
      <c r="J64" s="50" t="n">
        <f aca="false">I64-D64</f>
        <v>39.3091884632685</v>
      </c>
      <c r="K64" s="37" t="str">
        <f aca="false">IF(H64&gt;0,"có lợi","KHÔNG lợi")</f>
        <v>có lợi</v>
      </c>
    </row>
    <row r="65" customFormat="false" ht="15" hidden="false" customHeight="true" outlineLevel="0" collapsed="false">
      <c r="A65" s="41" t="s">
        <v>482</v>
      </c>
      <c r="B65" s="62" t="n">
        <f aca="false">F24</f>
        <v>164.636669157</v>
      </c>
      <c r="C65" s="62" t="n">
        <f aca="false">AVERAGE($F$13:$F$17)</f>
        <v>27.5123195550001</v>
      </c>
      <c r="D65" s="62" t="n">
        <f aca="false">B65-C65</f>
        <v>137.124349602</v>
      </c>
      <c r="E65" s="77" t="n">
        <f aca="false">B37</f>
        <v>39.9973175366045</v>
      </c>
      <c r="F65" s="77" t="n">
        <f aca="false">J37</f>
        <v>43.2649553613566</v>
      </c>
      <c r="G65" s="50" t="n">
        <f aca="false">$B$7*$B$9*(F65-E65)</f>
        <v>95.4625814262949</v>
      </c>
      <c r="H65" s="50" t="n">
        <f aca="false">G65-D65</f>
        <v>-41.661768175705</v>
      </c>
      <c r="I65" s="50" t="n">
        <f aca="false">$B$8*$B$9*(F65-E65)</f>
        <v>75.7526143876722</v>
      </c>
      <c r="J65" s="50" t="n">
        <f aca="false">I65-D65</f>
        <v>-61.3717352143278</v>
      </c>
      <c r="K65" s="37" t="str">
        <f aca="false">IF(H65&gt;0,"có lợi","KHÔNG lợi")</f>
        <v>KHÔNG lợi</v>
      </c>
    </row>
    <row r="66" customFormat="false" ht="15" hidden="false" customHeight="true" outlineLevel="0" collapsed="false">
      <c r="A66" s="41" t="s">
        <v>483</v>
      </c>
      <c r="B66" s="62" t="n">
        <f aca="false">F25</f>
        <v>164.291015119</v>
      </c>
      <c r="C66" s="62" t="n">
        <f aca="false">AVERAGE($F$13:$F$17)</f>
        <v>27.5123195550001</v>
      </c>
      <c r="D66" s="62" t="n">
        <f aca="false">B66-C66</f>
        <v>136.778695564</v>
      </c>
      <c r="E66" s="77" t="n">
        <f aca="false">B38</f>
        <v>86.8653179836817</v>
      </c>
      <c r="F66" s="77" t="n">
        <f aca="false">J38</f>
        <v>94.1195911692936</v>
      </c>
      <c r="G66" s="50" t="n">
        <f aca="false">$B$7*$B$9*(F66-E66)</f>
        <v>211.930355140443</v>
      </c>
      <c r="H66" s="50" t="n">
        <f aca="false">G66-D66</f>
        <v>75.1516595764434</v>
      </c>
      <c r="I66" s="50" t="n">
        <f aca="false">$B$8*$B$9*(F66-E66)</f>
        <v>168.173521291079</v>
      </c>
      <c r="J66" s="50" t="n">
        <f aca="false">I66-D66</f>
        <v>31.3948257270795</v>
      </c>
      <c r="K66" s="37" t="str">
        <f aca="false">IF(H66&gt;0,"có lợi","KHÔNG lợi")</f>
        <v>có lợi</v>
      </c>
    </row>
    <row r="67" customFormat="false" ht="15" hidden="false" customHeight="true" outlineLevel="0" collapsed="false">
      <c r="A67" s="41" t="s">
        <v>484</v>
      </c>
      <c r="B67" s="62" t="n">
        <f aca="false">F26</f>
        <v>164.267893604</v>
      </c>
      <c r="C67" s="62" t="n">
        <f aca="false">AVERAGE($F$13:$F$17)</f>
        <v>27.5123195550001</v>
      </c>
      <c r="D67" s="62" t="n">
        <f aca="false">B67-C67</f>
        <v>136.755574049</v>
      </c>
      <c r="E67" s="77" t="n">
        <f aca="false">B39</f>
        <v>43.2162736112663</v>
      </c>
      <c r="F67" s="77" t="n">
        <f aca="false">J39</f>
        <v>46.9679902329502</v>
      </c>
      <c r="G67" s="50" t="n">
        <f aca="false">$B$7*$B$9*(F67-E67)</f>
        <v>109.604727541384</v>
      </c>
      <c r="H67" s="50" t="n">
        <f aca="false">G67-D67</f>
        <v>-27.1508465076162</v>
      </c>
      <c r="I67" s="50" t="n">
        <f aca="false">$B$8*$B$9*(F67-E67)</f>
        <v>86.9748600598948</v>
      </c>
      <c r="J67" s="50" t="n">
        <f aca="false">I67-D67</f>
        <v>-49.7807139891051</v>
      </c>
      <c r="K67" s="37" t="str">
        <f aca="false">IF(H67&gt;0,"có lợi","KHÔNG lợi")</f>
        <v>KHÔNG lợi</v>
      </c>
    </row>
    <row r="68" customFormat="false" ht="30" hidden="false" customHeight="true" outlineLevel="0" collapsed="false">
      <c r="A68" s="32" t="s">
        <v>513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</row>
  </sheetData>
  <mergeCells count="5">
    <mergeCell ref="A30:L30"/>
    <mergeCell ref="A41:N41"/>
    <mergeCell ref="A50:N50"/>
    <mergeCell ref="A58:N58"/>
    <mergeCell ref="A68:N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4"/>
    <col collapsed="false" customWidth="true" hidden="false" outlineLevel="0" max="7" min="3" style="1" width="18"/>
  </cols>
  <sheetData>
    <row r="1" customFormat="false" ht="17.25" hidden="false" customHeight="true" outlineLevel="0" collapsed="false">
      <c r="A1" s="33" t="s">
        <v>514</v>
      </c>
    </row>
    <row r="2" customFormat="false" ht="15" hidden="false" customHeight="true" outlineLevel="0" collapsed="false">
      <c r="A2" s="34" t="s">
        <v>515</v>
      </c>
    </row>
    <row r="4" customFormat="false" ht="39.75" hidden="false" customHeight="true" outlineLevel="0" collapsed="false">
      <c r="A4" s="36" t="s">
        <v>516</v>
      </c>
      <c r="B4" s="36" t="s">
        <v>517</v>
      </c>
      <c r="C4" s="36" t="s">
        <v>518</v>
      </c>
      <c r="D4" s="36" t="s">
        <v>519</v>
      </c>
      <c r="E4" s="36" t="s">
        <v>520</v>
      </c>
      <c r="F4" s="36" t="s">
        <v>521</v>
      </c>
      <c r="G4" s="36" t="s">
        <v>522</v>
      </c>
    </row>
    <row r="5" customFormat="false" ht="15" hidden="false" customHeight="true" outlineLevel="0" collapsed="false">
      <c r="A5" s="41" t="s">
        <v>523</v>
      </c>
      <c r="B5" s="94" t="n">
        <f aca="false">GD5_PhienA_enwik8!Q18</f>
        <v>-0.00958342273791302</v>
      </c>
      <c r="C5" s="94" t="n">
        <f aca="false">GD5_PhienA_enwik8!Q19</f>
        <v>-0.00559160219390165</v>
      </c>
      <c r="D5" s="94" t="n">
        <f aca="false">GD5_PhienA_enwik8!Q20</f>
        <v>-0.00549035670385945</v>
      </c>
      <c r="E5" s="94" t="n">
        <f aca="false">GD5_PhienB_mixed!Q18</f>
        <v>-0.00162391397702544</v>
      </c>
      <c r="F5" s="94" t="n">
        <f aca="false">GD5_PhienB_mixed!Q19</f>
        <v>0.00187254252150315</v>
      </c>
      <c r="G5" s="94" t="n">
        <f aca="false">GD5_PhienB_mixed!Q20</f>
        <v>0.000821417009064129</v>
      </c>
    </row>
    <row r="6" customFormat="false" ht="15" hidden="false" customHeight="true" outlineLevel="0" collapsed="false">
      <c r="A6" s="41" t="s">
        <v>524</v>
      </c>
      <c r="B6" s="94" t="n">
        <f aca="false">GD5_PhienA_enwik8!Q21</f>
        <v>-0.00486839560935182</v>
      </c>
      <c r="C6" s="94" t="n">
        <f aca="false">GD5_PhienA_enwik8!Q22</f>
        <v>-0.00109377917249232</v>
      </c>
      <c r="D6" s="94" t="n">
        <f aca="false">GD5_PhienA_enwik8!Q23</f>
        <v>-0.00471644048739939</v>
      </c>
      <c r="E6" s="94" t="n">
        <f aca="false">GD5_PhienB_mixed!Q21</f>
        <v>0.00539177867982654</v>
      </c>
      <c r="F6" s="94" t="n">
        <f aca="false">GD5_PhienB_mixed!Q22</f>
        <v>0.0124861898443589</v>
      </c>
      <c r="G6" s="94" t="n">
        <f aca="false">GD5_PhienB_mixed!Q23</f>
        <v>0.00589066440472985</v>
      </c>
    </row>
    <row r="7" customFormat="false" ht="15" hidden="false" customHeight="true" outlineLevel="0" collapsed="false">
      <c r="A7" s="41" t="s">
        <v>525</v>
      </c>
      <c r="B7" s="94" t="n">
        <f aca="false">GD5_PhienA_enwik8!Q24</f>
        <v>-0.0117855590859961</v>
      </c>
      <c r="C7" s="94" t="n">
        <f aca="false">GD5_PhienA_enwik8!Q25</f>
        <v>-0.00681048797335293</v>
      </c>
      <c r="D7" s="94" t="n">
        <f aca="false">GD5_PhienA_enwik8!Q26</f>
        <v>-0.00658290356590319</v>
      </c>
      <c r="E7" s="94" t="n">
        <f aca="false">GD5_PhienB_mixed!Q24</f>
        <v>-0.00294185624997545</v>
      </c>
      <c r="F7" s="94" t="n">
        <f aca="false">GD5_PhienB_mixed!Q25</f>
        <v>0.000213011722263179</v>
      </c>
      <c r="G7" s="94" t="n">
        <f aca="false">GD5_PhienB_mixed!Q26</f>
        <v>-0.000553942257171425</v>
      </c>
    </row>
    <row r="8" customFormat="false" ht="15" hidden="false" customHeight="true" outlineLevel="0" collapsed="false">
      <c r="A8" s="41" t="s">
        <v>526</v>
      </c>
      <c r="B8" s="37" t="s">
        <v>18</v>
      </c>
      <c r="C8" s="94" t="n">
        <f aca="false">GD5_PhienA_enwik8!E51</f>
        <v>0.000452996590226684</v>
      </c>
      <c r="D8" s="37" t="s">
        <v>18</v>
      </c>
      <c r="E8" s="37" t="s">
        <v>18</v>
      </c>
      <c r="F8" s="94" t="n">
        <f aca="false">GD5_PhienB_mixed!E51</f>
        <v>0.0064401010909374</v>
      </c>
      <c r="G8" s="37" t="s">
        <v>18</v>
      </c>
    </row>
    <row r="9" customFormat="false" ht="19.5" hidden="false" customHeight="true" outlineLevel="0" collapsed="false">
      <c r="A9" s="32" t="s">
        <v>527</v>
      </c>
      <c r="B9" s="32"/>
      <c r="C9" s="32"/>
      <c r="D9" s="32"/>
      <c r="E9" s="32"/>
      <c r="F9" s="32"/>
      <c r="G9" s="32"/>
    </row>
    <row r="11" customFormat="false" ht="15" hidden="false" customHeight="true" outlineLevel="0" collapsed="false">
      <c r="A11" s="52" t="s">
        <v>528</v>
      </c>
    </row>
    <row r="12" customFormat="false" ht="24" hidden="false" customHeight="true" outlineLevel="0" collapsed="false">
      <c r="A12" s="36"/>
      <c r="B12" s="36" t="s">
        <v>529</v>
      </c>
      <c r="C12" s="36" t="s">
        <v>530</v>
      </c>
    </row>
    <row r="13" customFormat="false" ht="15" hidden="false" customHeight="true" outlineLevel="0" collapsed="false">
      <c r="A13" s="41" t="s">
        <v>531</v>
      </c>
      <c r="B13" s="60" t="n">
        <f aca="false">AVERAGE(GD5_PhienA_enwik8!E10:E14)</f>
        <v>27.5123195550001</v>
      </c>
      <c r="C13" s="60" t="n">
        <f aca="false">AVERAGE(GD5_PhienB_mixed!E10:E14)</f>
        <v>41.3214552504001</v>
      </c>
    </row>
    <row r="14" customFormat="false" ht="15" hidden="false" customHeight="true" outlineLevel="0" collapsed="false">
      <c r="A14" s="53" t="s">
        <v>532</v>
      </c>
      <c r="B14" s="60" t="n">
        <f aca="false">GD5_PhienA_enwik8!B6+GD5_PhienA_enwik8!H19</f>
        <v>180.849617891</v>
      </c>
      <c r="C14" s="60" t="n">
        <f aca="false">GD5_PhienB_mixed!B6+GD5_PhienB_mixed!H19</f>
        <v>251.607120365</v>
      </c>
    </row>
    <row r="15" customFormat="false" ht="15" hidden="false" customHeight="true" outlineLevel="0" collapsed="false">
      <c r="A15" s="41" t="s">
        <v>533</v>
      </c>
      <c r="B15" s="60" t="n">
        <f aca="false">GD5_PhienA_enwik8!H51</f>
        <v>34.1970370210001</v>
      </c>
      <c r="C15" s="60" t="n">
        <f aca="false">GD5_PhienB_mixed!H51</f>
        <v>43.1047236760001</v>
      </c>
    </row>
    <row r="16" customFormat="false" ht="15" hidden="false" customHeight="true" outlineLevel="0" collapsed="false">
      <c r="A16" s="41" t="s">
        <v>534</v>
      </c>
      <c r="B16" s="54" t="n">
        <f aca="false">B14/B13</f>
        <v>6.57340496243736</v>
      </c>
      <c r="C16" s="54" t="n">
        <f aca="false">C14/C13</f>
        <v>6.08901886054858</v>
      </c>
    </row>
    <row r="17" customFormat="false" ht="15" hidden="false" customHeight="true" outlineLevel="0" collapsed="false">
      <c r="A17" s="41" t="s">
        <v>535</v>
      </c>
      <c r="B17" s="54" t="n">
        <f aca="false">B15/B13</f>
        <v>1.24297178769811</v>
      </c>
      <c r="C17" s="54" t="n">
        <f aca="false">C15/C13</f>
        <v>1.04315599280794</v>
      </c>
    </row>
    <row r="19" customFormat="false" ht="15" hidden="false" customHeight="true" outlineLevel="0" collapsed="false">
      <c r="A19" s="52" t="s">
        <v>536</v>
      </c>
    </row>
    <row r="20" customFormat="false" ht="15" hidden="false" customHeight="true" outlineLevel="0" collapsed="false">
      <c r="A20" s="41" t="s">
        <v>529</v>
      </c>
      <c r="B20" s="94" t="n">
        <f aca="false">GD5_PhienA_enwik8!H45</f>
        <v>0.012949317431726</v>
      </c>
    </row>
    <row r="21" customFormat="false" ht="15" hidden="false" customHeight="true" outlineLevel="0" collapsed="false">
      <c r="A21" s="41" t="s">
        <v>530</v>
      </c>
      <c r="B21" s="94" t="n">
        <f aca="false">GD5_PhienB_mixed!H45</f>
        <v>0.00895684066897161</v>
      </c>
    </row>
    <row r="22" customFormat="false" ht="30" hidden="false" customHeight="true" outlineLevel="0" collapsed="false">
      <c r="A22" s="32" t="s">
        <v>537</v>
      </c>
      <c r="B22" s="32"/>
      <c r="C22" s="32"/>
      <c r="D22" s="32"/>
      <c r="E22" s="32"/>
      <c r="F22" s="32"/>
      <c r="G22" s="32"/>
    </row>
    <row r="24" customFormat="false" ht="15" hidden="false" customHeight="true" outlineLevel="0" collapsed="false">
      <c r="A24" s="52" t="s">
        <v>538</v>
      </c>
    </row>
    <row r="25" customFormat="false" ht="24" hidden="false" customHeight="true" outlineLevel="0" collapsed="false">
      <c r="A25" s="36" t="s">
        <v>539</v>
      </c>
      <c r="B25" s="36" t="s">
        <v>540</v>
      </c>
      <c r="C25" s="36" t="s">
        <v>541</v>
      </c>
    </row>
    <row r="26" customFormat="false" ht="39.75" hidden="false" customHeight="true" outlineLevel="0" collapsed="false">
      <c r="A26" s="53" t="s">
        <v>542</v>
      </c>
      <c r="B26" s="80" t="s">
        <v>543</v>
      </c>
      <c r="C26" s="38" t="s">
        <v>544</v>
      </c>
      <c r="D26" s="38"/>
      <c r="E26" s="38"/>
      <c r="F26" s="38"/>
      <c r="G26" s="38"/>
    </row>
    <row r="27" customFormat="false" ht="39.75" hidden="false" customHeight="true" outlineLevel="0" collapsed="false">
      <c r="A27" s="53" t="s">
        <v>545</v>
      </c>
      <c r="B27" s="78" t="s">
        <v>546</v>
      </c>
      <c r="C27" s="38" t="s">
        <v>547</v>
      </c>
      <c r="D27" s="38"/>
      <c r="E27" s="38"/>
      <c r="F27" s="38"/>
      <c r="G27" s="38"/>
    </row>
    <row r="28" customFormat="false" ht="39.75" hidden="false" customHeight="true" outlineLevel="0" collapsed="false">
      <c r="A28" s="53" t="s">
        <v>548</v>
      </c>
      <c r="B28" s="78" t="s">
        <v>549</v>
      </c>
      <c r="C28" s="38" t="s">
        <v>550</v>
      </c>
      <c r="D28" s="38"/>
      <c r="E28" s="38"/>
      <c r="F28" s="38"/>
      <c r="G28" s="38"/>
    </row>
    <row r="29" customFormat="false" ht="39.75" hidden="false" customHeight="true" outlineLevel="0" collapsed="false">
      <c r="A29" s="53" t="s">
        <v>551</v>
      </c>
      <c r="B29" s="76" t="s">
        <v>552</v>
      </c>
      <c r="C29" s="38" t="s">
        <v>553</v>
      </c>
      <c r="D29" s="38"/>
      <c r="E29" s="38"/>
      <c r="F29" s="38"/>
      <c r="G29" s="38"/>
    </row>
    <row r="30" customFormat="false" ht="39.75" hidden="false" customHeight="true" outlineLevel="0" collapsed="false">
      <c r="A30" s="53" t="s">
        <v>554</v>
      </c>
      <c r="B30" s="80" t="s">
        <v>555</v>
      </c>
      <c r="C30" s="38" t="s">
        <v>556</v>
      </c>
      <c r="D30" s="38"/>
      <c r="E30" s="38"/>
      <c r="F30" s="38"/>
      <c r="G30" s="38"/>
    </row>
    <row r="31" customFormat="false" ht="39.75" hidden="false" customHeight="true" outlineLevel="0" collapsed="false">
      <c r="A31" s="53" t="s">
        <v>557</v>
      </c>
      <c r="B31" s="80" t="s">
        <v>558</v>
      </c>
      <c r="C31" s="38" t="s">
        <v>559</v>
      </c>
      <c r="D31" s="38"/>
      <c r="E31" s="38"/>
      <c r="F31" s="38"/>
      <c r="G31" s="38"/>
    </row>
  </sheetData>
  <mergeCells count="8">
    <mergeCell ref="A9:G9"/>
    <mergeCell ref="A22:G22"/>
    <mergeCell ref="C26:G26"/>
    <mergeCell ref="C27:G27"/>
    <mergeCell ref="C28:G28"/>
    <mergeCell ref="C29:G29"/>
    <mergeCell ref="C30:G30"/>
    <mergeCell ref="C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8" min="6" style="1" width="12"/>
    <col collapsed="false" customWidth="true" hidden="false" outlineLevel="0" max="9" min="9" style="1" width="15"/>
    <col collapsed="false" customWidth="true" hidden="false" outlineLevel="0" max="10" min="10" style="1" width="11"/>
    <col collapsed="false" customWidth="true" hidden="false" outlineLevel="0" max="15" min="11" style="1" width="9"/>
    <col collapsed="false" customWidth="true" hidden="false" outlineLevel="0" max="16" min="16" style="1" width="17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20" min="19" style="1" width="12"/>
  </cols>
  <sheetData>
    <row r="1" customFormat="false" ht="17.25" hidden="false" customHeight="true" outlineLevel="0" collapsed="false">
      <c r="A1" s="33" t="s">
        <v>560</v>
      </c>
    </row>
    <row r="2" customFormat="false" ht="15" hidden="false" customHeight="true" outlineLevel="0" collapsed="false">
      <c r="A2" s="34" t="s">
        <v>561</v>
      </c>
    </row>
    <row r="3" customFormat="false" ht="15" hidden="false" customHeight="true" outlineLevel="0" collapsed="false">
      <c r="A3" s="53" t="s">
        <v>238</v>
      </c>
      <c r="B3" s="42" t="n">
        <v>1000000</v>
      </c>
    </row>
    <row r="4" customFormat="false" ht="15" hidden="false" customHeight="true" outlineLevel="0" collapsed="false">
      <c r="A4" s="53" t="s">
        <v>562</v>
      </c>
      <c r="B4" s="42" t="n">
        <v>286273</v>
      </c>
    </row>
    <row r="5" customFormat="false" ht="15" hidden="false" customHeight="true" outlineLevel="0" collapsed="false">
      <c r="A5" s="53" t="s">
        <v>110</v>
      </c>
      <c r="B5" s="42" t="n">
        <v>286304</v>
      </c>
    </row>
    <row r="6" customFormat="false" ht="15" hidden="false" customHeight="true" outlineLevel="0" collapsed="false">
      <c r="A6" s="53" t="s">
        <v>563</v>
      </c>
      <c r="B6" s="47" t="n">
        <v>148.652063695</v>
      </c>
    </row>
    <row r="8" customFormat="false" ht="15" hidden="false" customHeight="true" outlineLevel="0" collapsed="false">
      <c r="A8" s="52" t="s">
        <v>443</v>
      </c>
    </row>
    <row r="9" customFormat="false" ht="45.75" hidden="false" customHeight="true" outlineLevel="0" collapsed="false">
      <c r="A9" s="36" t="s">
        <v>444</v>
      </c>
      <c r="B9" s="36" t="s">
        <v>98</v>
      </c>
      <c r="C9" s="36" t="s">
        <v>100</v>
      </c>
      <c r="D9" s="36" t="s">
        <v>378</v>
      </c>
      <c r="E9" s="36" t="s">
        <v>208</v>
      </c>
      <c r="F9" s="36" t="s">
        <v>126</v>
      </c>
      <c r="G9" s="36" t="s">
        <v>564</v>
      </c>
    </row>
    <row r="10" customFormat="false" ht="15" hidden="false" customHeight="true" outlineLevel="0" collapsed="false">
      <c r="A10" s="41" t="s">
        <v>128</v>
      </c>
      <c r="B10" s="42" t="n">
        <v>300576</v>
      </c>
      <c r="C10" s="44" t="n">
        <f aca="false">$B$3/B10</f>
        <v>3.32694559778559</v>
      </c>
      <c r="D10" s="42" t="n">
        <v>1194</v>
      </c>
      <c r="E10" s="47" t="n">
        <v>27.9891557690003</v>
      </c>
      <c r="F10" s="42" t="n">
        <v>9161728</v>
      </c>
      <c r="G10" s="81" t="n">
        <f aca="false">F10/$B$5</f>
        <v>32</v>
      </c>
    </row>
    <row r="11" customFormat="false" ht="15" hidden="false" customHeight="true" outlineLevel="0" collapsed="false">
      <c r="A11" s="41" t="s">
        <v>131</v>
      </c>
      <c r="B11" s="42" t="n">
        <v>271704</v>
      </c>
      <c r="C11" s="44" t="n">
        <f aca="false">$B$3/B11</f>
        <v>3.68047581191296</v>
      </c>
      <c r="D11" s="42" t="n">
        <v>1194</v>
      </c>
      <c r="E11" s="47" t="n">
        <v>28.532199752</v>
      </c>
      <c r="F11" s="42" t="n">
        <v>18322432</v>
      </c>
      <c r="G11" s="81" t="n">
        <f aca="false">F11/$B$5</f>
        <v>63.9964233821393</v>
      </c>
    </row>
    <row r="12" customFormat="false" ht="15" hidden="false" customHeight="true" outlineLevel="0" collapsed="false">
      <c r="A12" s="41" t="s">
        <v>132</v>
      </c>
      <c r="B12" s="42" t="n">
        <v>246976</v>
      </c>
      <c r="C12" s="44" t="n">
        <f aca="false">$B$3/B12</f>
        <v>4.04897641876134</v>
      </c>
      <c r="D12" s="42" t="n">
        <v>635</v>
      </c>
      <c r="E12" s="47" t="n">
        <v>26.4945085250001</v>
      </c>
      <c r="F12" s="42" t="n">
        <v>36639744</v>
      </c>
      <c r="G12" s="81" t="n">
        <f aca="false">F12/$B$5</f>
        <v>127.974963674975</v>
      </c>
    </row>
    <row r="13" customFormat="false" ht="15" hidden="false" customHeight="true" outlineLevel="0" collapsed="false">
      <c r="A13" s="41" t="s">
        <v>134</v>
      </c>
      <c r="B13" s="42" t="n">
        <v>228006</v>
      </c>
      <c r="C13" s="44" t="n">
        <f aca="false">$B$3/B13</f>
        <v>4.38584949518872</v>
      </c>
      <c r="D13" s="42" t="n">
        <v>355</v>
      </c>
      <c r="E13" s="47" t="n">
        <v>27.0123556079998</v>
      </c>
      <c r="F13" s="42" t="n">
        <v>73274368</v>
      </c>
      <c r="G13" s="81" t="n">
        <f aca="false">F13/$B$5</f>
        <v>255.932044260646</v>
      </c>
    </row>
    <row r="14" customFormat="false" ht="15" hidden="false" customHeight="true" outlineLevel="0" collapsed="false">
      <c r="A14" s="41" t="s">
        <v>94</v>
      </c>
      <c r="B14" s="42" t="n">
        <v>213691</v>
      </c>
      <c r="C14" s="44" t="n">
        <f aca="false">$B$3/B14</f>
        <v>4.67965426714274</v>
      </c>
      <c r="D14" s="42" t="n">
        <v>215</v>
      </c>
      <c r="E14" s="47" t="n">
        <v>27.5333781210002</v>
      </c>
      <c r="F14" s="42" t="n">
        <v>146543616</v>
      </c>
      <c r="G14" s="81" t="n">
        <f aca="false">F14/$B$5</f>
        <v>511.846205431988</v>
      </c>
    </row>
    <row r="16" customFormat="false" ht="15" hidden="false" customHeight="true" outlineLevel="0" collapsed="false">
      <c r="A16" s="52" t="s">
        <v>565</v>
      </c>
    </row>
    <row r="17" customFormat="false" ht="45.75" hidden="false" customHeight="true" outlineLevel="0" collapsed="false">
      <c r="A17" s="36" t="s">
        <v>125</v>
      </c>
      <c r="B17" s="36" t="s">
        <v>566</v>
      </c>
      <c r="C17" s="36" t="s">
        <v>567</v>
      </c>
      <c r="D17" s="36" t="s">
        <v>568</v>
      </c>
      <c r="E17" s="36" t="s">
        <v>98</v>
      </c>
      <c r="F17" s="36" t="s">
        <v>569</v>
      </c>
      <c r="G17" s="36" t="s">
        <v>378</v>
      </c>
      <c r="H17" s="36" t="s">
        <v>208</v>
      </c>
      <c r="I17" s="36" t="s">
        <v>126</v>
      </c>
      <c r="J17" s="36" t="s">
        <v>446</v>
      </c>
      <c r="K17" s="36" t="s">
        <v>382</v>
      </c>
      <c r="L17" s="36" t="s">
        <v>383</v>
      </c>
      <c r="M17" s="36" t="s">
        <v>384</v>
      </c>
      <c r="N17" s="36" t="s">
        <v>385</v>
      </c>
      <c r="O17" s="36" t="s">
        <v>386</v>
      </c>
      <c r="P17" s="36" t="s">
        <v>570</v>
      </c>
      <c r="Q17" s="36" t="s">
        <v>571</v>
      </c>
      <c r="R17" s="36" t="s">
        <v>572</v>
      </c>
      <c r="S17" s="36" t="s">
        <v>573</v>
      </c>
      <c r="T17" s="36" t="s">
        <v>449</v>
      </c>
    </row>
    <row r="18" customFormat="false" ht="15" hidden="false" customHeight="true" outlineLevel="0" collapsed="false">
      <c r="A18" s="41" t="s">
        <v>574</v>
      </c>
      <c r="B18" s="43" t="s">
        <v>253</v>
      </c>
      <c r="C18" s="49" t="n">
        <v>86</v>
      </c>
      <c r="D18" s="95" t="n">
        <v>101.551363317698</v>
      </c>
      <c r="E18" s="42" t="n">
        <v>258158</v>
      </c>
      <c r="F18" s="44" t="n">
        <f aca="false">$B$3/E18</f>
        <v>3.87359678956298</v>
      </c>
      <c r="G18" s="42" t="n">
        <v>1001</v>
      </c>
      <c r="H18" s="47" t="n">
        <v>37.05846651</v>
      </c>
      <c r="I18" s="42" t="n">
        <v>24620032</v>
      </c>
      <c r="J18" s="81" t="n">
        <f aca="false">I18/$B$5</f>
        <v>85.9926232256622</v>
      </c>
      <c r="K18" s="42" t="n">
        <v>563</v>
      </c>
      <c r="L18" s="42" t="n">
        <v>2698</v>
      </c>
      <c r="M18" s="42" t="n">
        <v>701</v>
      </c>
      <c r="N18" s="42" t="n">
        <v>23</v>
      </c>
      <c r="O18" s="42" t="n">
        <v>0</v>
      </c>
      <c r="P18" s="50" t="n">
        <f aca="false">$B$10*(LOG(J18,2)-LOG($G$11,2))*(LOG(J18,2)-LOG($G$12,2))/((LOG($G$10,2)-LOG($G$11,2))*(LOG($G$10,2)-LOG($G$12,2)))+$B$11*(LOG(J18,2)-LOG($G$10,2))*(LOG(J18,2)-LOG($G$12,2))/((LOG($G$11,2)-LOG($G$10,2))*(LOG($G$11,2)-LOG($G$12,2)))+$B$12*(LOG(J18,2)-LOG($G$10,2))*(LOG(J18,2)-LOG($G$11,2))/((LOG($G$12,2)-LOG($G$10,2))*(LOG($G$12,2)-LOG($G$11,2)))</f>
        <v>260655.976411111</v>
      </c>
      <c r="Q18" s="45" t="n">
        <f aca="false">E18/P18-1</f>
        <v>-0.00958342273791302</v>
      </c>
      <c r="R18" s="50" t="n">
        <f aca="false">$B$11+(J18-$G$11)/($G$12-$G$11)*($B$12-$B$11)</f>
        <v>263202.367620751</v>
      </c>
      <c r="S18" s="45" t="n">
        <f aca="false">E18/R18-1</f>
        <v>-0.0191653580716256</v>
      </c>
      <c r="T18" s="78" t="s">
        <v>451</v>
      </c>
    </row>
    <row r="19" customFormat="false" ht="15" hidden="false" customHeight="true" outlineLevel="0" collapsed="false">
      <c r="A19" s="41" t="s">
        <v>575</v>
      </c>
      <c r="B19" s="43" t="s">
        <v>253</v>
      </c>
      <c r="C19" s="49" t="n">
        <v>164</v>
      </c>
      <c r="D19" s="95" t="n">
        <v>42.3264676047599</v>
      </c>
      <c r="E19" s="42" t="n">
        <v>238180</v>
      </c>
      <c r="F19" s="44" t="n">
        <f aca="false">$B$3/E19</f>
        <v>4.19850533210177</v>
      </c>
      <c r="G19" s="42" t="n">
        <v>603</v>
      </c>
      <c r="H19" s="47" t="n">
        <v>32.1975541959999</v>
      </c>
      <c r="I19" s="42" t="n">
        <v>46963712</v>
      </c>
      <c r="J19" s="81" t="n">
        <f aca="false">I19/$B$5</f>
        <v>164.03442494691</v>
      </c>
      <c r="K19" s="42" t="n">
        <v>39</v>
      </c>
      <c r="L19" s="42" t="n">
        <v>380</v>
      </c>
      <c r="M19" s="42" t="n">
        <v>1409</v>
      </c>
      <c r="N19" s="42" t="n">
        <v>288</v>
      </c>
      <c r="O19" s="42" t="n">
        <v>13</v>
      </c>
      <c r="P19" s="50" t="n">
        <f aca="false">$B$11*(LOG(J19,2)-LOG($G$12,2))*(LOG(J19,2)-LOG($G$13,2))/((LOG($G$11,2)-LOG($G$12,2))*(LOG($G$11,2)-LOG($G$13,2)))+$B$12*(LOG(J19,2)-LOG($G$11,2))*(LOG(J19,2)-LOG($G$13,2))/((LOG($G$12,2)-LOG($G$11,2))*(LOG($G$12,2)-LOG($G$13,2)))+$B$13*(LOG(J19,2)-LOG($G$11,2))*(LOG(J19,2)-LOG($G$12,2))/((LOG($G$13,2)-LOG($G$11,2))*(LOG($G$13,2)-LOG($G$12,2)))</f>
        <v>239519.296624487</v>
      </c>
      <c r="Q19" s="45" t="n">
        <f aca="false">E19/P19-1</f>
        <v>-0.00559160219390165</v>
      </c>
      <c r="R19" s="50" t="n">
        <f aca="false">$B$12+(J19-$G$12)/($G$13-$G$12)*($B$13-$B$12)</f>
        <v>241630.082625224</v>
      </c>
      <c r="S19" s="45" t="n">
        <f aca="false">E19/R19-1</f>
        <v>-0.0142783654573955</v>
      </c>
      <c r="T19" s="78" t="s">
        <v>451</v>
      </c>
    </row>
    <row r="20" customFormat="false" ht="15" hidden="false" customHeight="true" outlineLevel="0" collapsed="false">
      <c r="A20" s="41" t="s">
        <v>576</v>
      </c>
      <c r="B20" s="43" t="s">
        <v>253</v>
      </c>
      <c r="C20" s="49" t="n">
        <v>411</v>
      </c>
      <c r="D20" s="95" t="n">
        <v>8.39664483232899</v>
      </c>
      <c r="E20" s="42" t="n">
        <v>216534</v>
      </c>
      <c r="F20" s="44" t="n">
        <f aca="false">$B$3/E20</f>
        <v>4.61821238235104</v>
      </c>
      <c r="G20" s="42" t="n">
        <v>278</v>
      </c>
      <c r="H20" s="47" t="n">
        <v>31.245380224</v>
      </c>
      <c r="I20" s="42" t="n">
        <v>117609472</v>
      </c>
      <c r="J20" s="81" t="n">
        <f aca="false">I20/$B$5</f>
        <v>410.785291159048</v>
      </c>
      <c r="K20" s="42" t="n">
        <v>1</v>
      </c>
      <c r="L20" s="42" t="n">
        <v>17</v>
      </c>
      <c r="M20" s="42" t="n">
        <v>50</v>
      </c>
      <c r="N20" s="42" t="n">
        <v>397</v>
      </c>
      <c r="O20" s="42" t="n">
        <v>346</v>
      </c>
      <c r="P20" s="50" t="n">
        <f aca="false">$B$12*(LOG(J20,2)-LOG($G$13,2))*(LOG(J20,2)-LOG($G$14,2))/((LOG($G$12,2)-LOG($G$13,2))*(LOG($G$12,2)-LOG($G$14,2)))+$B$13*(LOG(J20,2)-LOG($G$12,2))*(LOG(J20,2)-LOG($G$14,2))/((LOG($G$13,2)-LOG($G$12,2))*(LOG($G$13,2)-LOG($G$14,2)))+$B$14*(LOG(J20,2)-LOG($G$12,2))*(LOG(J20,2)-LOG($G$13,2))/((LOG($G$14,2)-LOG($G$12,2))*(LOG($G$14,2)-LOG($G$13,2)))</f>
        <v>217729.412137557</v>
      </c>
      <c r="Q20" s="45" t="n">
        <f aca="false">E20/P20-1</f>
        <v>-0.00549035670385945</v>
      </c>
      <c r="R20" s="50" t="n">
        <f aca="false">$B$13+(J20-$G$13)/($G$14-$G$13)*($B$14-$B$13)</f>
        <v>219344.016547406</v>
      </c>
      <c r="S20" s="45" t="n">
        <f aca="false">E20/R20-1</f>
        <v>-0.0128110016021283</v>
      </c>
      <c r="T20" s="78" t="s">
        <v>451</v>
      </c>
    </row>
    <row r="21" customFormat="false" ht="15" hidden="false" customHeight="true" outlineLevel="0" collapsed="false">
      <c r="A21" s="41" t="s">
        <v>577</v>
      </c>
      <c r="B21" s="43" t="s">
        <v>578</v>
      </c>
      <c r="C21" s="49" t="n">
        <v>86</v>
      </c>
      <c r="D21" s="95" t="n">
        <v>103.041095951316</v>
      </c>
      <c r="E21" s="42" t="n">
        <v>259387</v>
      </c>
      <c r="F21" s="44" t="n">
        <f aca="false">$B$3/E21</f>
        <v>3.85524332368237</v>
      </c>
      <c r="G21" s="42" t="n">
        <v>987</v>
      </c>
      <c r="H21" s="47" t="n">
        <v>31.405107933</v>
      </c>
      <c r="I21" s="42" t="n">
        <v>24620032</v>
      </c>
      <c r="J21" s="81" t="n">
        <f aca="false">I21/$B$5</f>
        <v>85.9926232256622</v>
      </c>
      <c r="K21" s="42" t="n">
        <v>1675</v>
      </c>
      <c r="L21" s="42" t="n">
        <v>2088</v>
      </c>
      <c r="M21" s="42" t="n">
        <v>672</v>
      </c>
      <c r="N21" s="42" t="n">
        <v>51</v>
      </c>
      <c r="O21" s="42" t="n">
        <v>0</v>
      </c>
      <c r="P21" s="50" t="n">
        <f aca="false">$B$10*(LOG(J21,2)-LOG($G$11,2))*(LOG(J21,2)-LOG($G$12,2))/((LOG($G$10,2)-LOG($G$11,2))*(LOG($G$10,2)-LOG($G$12,2)))+$B$11*(LOG(J21,2)-LOG($G$10,2))*(LOG(J21,2)-LOG($G$12,2))/((LOG($G$11,2)-LOG($G$10,2))*(LOG($G$11,2)-LOG($G$12,2)))+$B$12*(LOG(J21,2)-LOG($G$10,2))*(LOG(J21,2)-LOG($G$11,2))/((LOG($G$12,2)-LOG($G$10,2))*(LOG($G$12,2)-LOG($G$11,2)))</f>
        <v>260655.976411111</v>
      </c>
      <c r="Q21" s="45" t="n">
        <f aca="false">E21/P21-1</f>
        <v>-0.00486839560935182</v>
      </c>
      <c r="R21" s="50" t="n">
        <f aca="false">$B$11+(J21-$G$11)/($G$12-$G$11)*($B$12-$B$11)</f>
        <v>263202.367620751</v>
      </c>
      <c r="S21" s="45" t="n">
        <f aca="false">E21/R21-1</f>
        <v>-0.0144959471878645</v>
      </c>
      <c r="T21" s="78" t="s">
        <v>451</v>
      </c>
    </row>
    <row r="22" customFormat="false" ht="15" hidden="false" customHeight="true" outlineLevel="0" collapsed="false">
      <c r="A22" s="41" t="s">
        <v>579</v>
      </c>
      <c r="B22" s="43" t="s">
        <v>578</v>
      </c>
      <c r="C22" s="49" t="n">
        <v>164</v>
      </c>
      <c r="D22" s="95" t="n">
        <v>48.0526451057955</v>
      </c>
      <c r="E22" s="42" t="n">
        <v>239271</v>
      </c>
      <c r="F22" s="44" t="n">
        <f aca="false">$B$3/E22</f>
        <v>4.17936147715352</v>
      </c>
      <c r="G22" s="42" t="n">
        <v>666</v>
      </c>
      <c r="H22" s="47" t="n">
        <v>30.9281204930001</v>
      </c>
      <c r="I22" s="42" t="n">
        <v>46941184</v>
      </c>
      <c r="J22" s="81" t="n">
        <f aca="false">I22/$B$5</f>
        <v>163.955739353973</v>
      </c>
      <c r="K22" s="42" t="n">
        <v>397</v>
      </c>
      <c r="L22" s="42" t="n">
        <v>741</v>
      </c>
      <c r="M22" s="42" t="n">
        <v>1151</v>
      </c>
      <c r="N22" s="42" t="n">
        <v>240</v>
      </c>
      <c r="O22" s="42" t="n">
        <v>34</v>
      </c>
      <c r="P22" s="50" t="n">
        <f aca="false">$B$11*(LOG(J22,2)-LOG($G$12,2))*(LOG(J22,2)-LOG($G$13,2))/((LOG($G$11,2)-LOG($G$12,2))*(LOG($G$11,2)-LOG($G$13,2)))+$B$12*(LOG(J22,2)-LOG($G$11,2))*(LOG(J22,2)-LOG($G$13,2))/((LOG($G$12,2)-LOG($G$11,2))*(LOG($G$12,2)-LOG($G$13,2)))+$B$13*(LOG(J22,2)-LOG($G$11,2))*(LOG(J22,2)-LOG($G$12,2))/((LOG($G$13,2)-LOG($G$11,2))*(LOG($G$13,2)-LOG($G$12,2)))</f>
        <v>239532.996202371</v>
      </c>
      <c r="Q22" s="45" t="n">
        <f aca="false">E22/P22-1</f>
        <v>-0.00109377917249232</v>
      </c>
      <c r="R22" s="50" t="n">
        <f aca="false">$B$12+(J22-$G$12)/($G$13-$G$12)*($B$13-$B$12)</f>
        <v>241641.747987478</v>
      </c>
      <c r="S22" s="45" t="n">
        <f aca="false">E22/R22-1</f>
        <v>-0.00981100330229567</v>
      </c>
      <c r="T22" s="78" t="s">
        <v>451</v>
      </c>
    </row>
    <row r="23" customFormat="false" ht="15" hidden="false" customHeight="true" outlineLevel="0" collapsed="false">
      <c r="A23" s="41" t="s">
        <v>580</v>
      </c>
      <c r="B23" s="43" t="s">
        <v>578</v>
      </c>
      <c r="C23" s="49" t="n">
        <v>411</v>
      </c>
      <c r="D23" s="95" t="n">
        <v>8.26699925157442</v>
      </c>
      <c r="E23" s="42" t="n">
        <v>216684</v>
      </c>
      <c r="F23" s="44" t="n">
        <f aca="false">$B$3/E23</f>
        <v>4.61501541415148</v>
      </c>
      <c r="G23" s="42" t="n">
        <v>285</v>
      </c>
      <c r="H23" s="47" t="n">
        <v>30.9899911370003</v>
      </c>
      <c r="I23" s="42" t="n">
        <v>117722112</v>
      </c>
      <c r="J23" s="81" t="n">
        <f aca="false">I23/$B$5</f>
        <v>411.178719123729</v>
      </c>
      <c r="K23" s="42" t="n">
        <v>11</v>
      </c>
      <c r="L23" s="42" t="n">
        <v>30</v>
      </c>
      <c r="M23" s="42" t="n">
        <v>93</v>
      </c>
      <c r="N23" s="42" t="n">
        <v>355</v>
      </c>
      <c r="O23" s="42" t="n">
        <v>354</v>
      </c>
      <c r="P23" s="50" t="n">
        <f aca="false">$B$12*(LOG(J23,2)-LOG($G$13,2))*(LOG(J23,2)-LOG($G$14,2))/((LOG($G$12,2)-LOG($G$13,2))*(LOG($G$12,2)-LOG($G$14,2)))+$B$13*(LOG(J23,2)-LOG($G$12,2))*(LOG(J23,2)-LOG($G$14,2))/((LOG($G$13,2)-LOG($G$12,2))*(LOG($G$13,2)-LOG($G$14,2)))+$B$14*(LOG(J23,2)-LOG($G$12,2))*(LOG(J23,2)-LOG($G$13,2))/((LOG($G$14,2)-LOG($G$12,2))*(LOG($G$14,2)-LOG($G$13,2)))</f>
        <v>217710.82012659</v>
      </c>
      <c r="Q23" s="45" t="n">
        <f aca="false">E23/P23-1</f>
        <v>-0.00471644048739939</v>
      </c>
      <c r="R23" s="50" t="n">
        <f aca="false">$B$13+(J23-$G$13)/($G$14-$G$13)*($B$14-$B$13)</f>
        <v>219322.009475626</v>
      </c>
      <c r="S23" s="45" t="n">
        <f aca="false">E23/R23-1</f>
        <v>-0.0120280198140318</v>
      </c>
      <c r="T23" s="78" t="s">
        <v>451</v>
      </c>
    </row>
    <row r="24" customFormat="false" ht="15" hidden="false" customHeight="true" outlineLevel="0" collapsed="false">
      <c r="A24" s="41" t="s">
        <v>581</v>
      </c>
      <c r="B24" s="43" t="s">
        <v>582</v>
      </c>
      <c r="C24" s="49" t="n">
        <v>86</v>
      </c>
      <c r="D24" s="95" t="n">
        <v>94.5002952308488</v>
      </c>
      <c r="E24" s="42" t="n">
        <v>257584</v>
      </c>
      <c r="F24" s="44" t="n">
        <f aca="false">$B$3/E24</f>
        <v>3.88222870985776</v>
      </c>
      <c r="G24" s="42" t="n">
        <v>995</v>
      </c>
      <c r="H24" s="47" t="n">
        <v>31.4764501049999</v>
      </c>
      <c r="I24" s="42" t="n">
        <v>24620032</v>
      </c>
      <c r="J24" s="81" t="n">
        <f aca="false">I24/$B$5</f>
        <v>85.9926232256622</v>
      </c>
      <c r="K24" s="42" t="n">
        <v>443</v>
      </c>
      <c r="L24" s="42" t="n">
        <v>2684</v>
      </c>
      <c r="M24" s="42" t="n">
        <v>764</v>
      </c>
      <c r="N24" s="42" t="n">
        <v>10</v>
      </c>
      <c r="O24" s="42" t="n">
        <v>0</v>
      </c>
      <c r="P24" s="50" t="n">
        <f aca="false">$B$10*(LOG(J24,2)-LOG($G$11,2))*(LOG(J24,2)-LOG($G$12,2))/((LOG($G$10,2)-LOG($G$11,2))*(LOG($G$10,2)-LOG($G$12,2)))+$B$11*(LOG(J24,2)-LOG($G$10,2))*(LOG(J24,2)-LOG($G$12,2))/((LOG($G$11,2)-LOG($G$10,2))*(LOG($G$11,2)-LOG($G$12,2)))+$B$12*(LOG(J24,2)-LOG($G$10,2))*(LOG(J24,2)-LOG($G$11,2))/((LOG($G$12,2)-LOG($G$10,2))*(LOG($G$12,2)-LOG($G$11,2)))</f>
        <v>260655.976411111</v>
      </c>
      <c r="Q24" s="45" t="n">
        <f aca="false">E24/P24-1</f>
        <v>-0.0117855590859961</v>
      </c>
      <c r="R24" s="50" t="n">
        <f aca="false">$B$11+(J24-$G$11)/($G$12-$G$11)*($B$12-$B$11)</f>
        <v>263202.367620751</v>
      </c>
      <c r="S24" s="45" t="n">
        <f aca="false">E24/R24-1</f>
        <v>-0.0213461895177434</v>
      </c>
      <c r="T24" s="78" t="s">
        <v>451</v>
      </c>
    </row>
    <row r="25" customFormat="false" ht="15" hidden="false" customHeight="true" outlineLevel="0" collapsed="false">
      <c r="A25" s="41" t="s">
        <v>583</v>
      </c>
      <c r="B25" s="43" t="s">
        <v>582</v>
      </c>
      <c r="C25" s="49" t="n">
        <v>164</v>
      </c>
      <c r="D25" s="95" t="n">
        <v>36.5665728994123</v>
      </c>
      <c r="E25" s="42" t="n">
        <v>237893</v>
      </c>
      <c r="F25" s="44" t="n">
        <f aca="false">$B$3/E25</f>
        <v>4.20357051279357</v>
      </c>
      <c r="G25" s="42" t="n">
        <v>581</v>
      </c>
      <c r="H25" s="47" t="n">
        <v>30.6644982160001</v>
      </c>
      <c r="I25" s="42" t="n">
        <v>46955520</v>
      </c>
      <c r="J25" s="81" t="n">
        <f aca="false">I25/$B$5</f>
        <v>164.005812004024</v>
      </c>
      <c r="K25" s="42" t="n">
        <v>15</v>
      </c>
      <c r="L25" s="42" t="n">
        <v>240</v>
      </c>
      <c r="M25" s="42" t="n">
        <v>1445</v>
      </c>
      <c r="N25" s="42" t="n">
        <v>328</v>
      </c>
      <c r="O25" s="42" t="n">
        <v>3</v>
      </c>
      <c r="P25" s="50" t="n">
        <f aca="false">$B$11*(LOG(J25,2)-LOG($G$12,2))*(LOG(J25,2)-LOG($G$13,2))/((LOG($G$11,2)-LOG($G$12,2))*(LOG($G$11,2)-LOG($G$13,2)))+$B$12*(LOG(J25,2)-LOG($G$11,2))*(LOG(J25,2)-LOG($G$13,2))/((LOG($G$12,2)-LOG($G$11,2))*(LOG($G$12,2)-LOG($G$13,2)))+$B$13*(LOG(J25,2)-LOG($G$11,2))*(LOG(J25,2)-LOG($G$12,2))/((LOG($G$13,2)-LOG($G$11,2))*(LOG($G$13,2)-LOG($G$12,2)))</f>
        <v>239524.27720926</v>
      </c>
      <c r="Q25" s="45" t="n">
        <f aca="false">E25/P25-1</f>
        <v>-0.00681048797335293</v>
      </c>
      <c r="R25" s="50" t="n">
        <f aca="false">$B$12+(J25-$G$12)/($G$13-$G$12)*($B$13-$B$12)</f>
        <v>241634.324575134</v>
      </c>
      <c r="S25" s="45" t="n">
        <f aca="false">E25/R25-1</f>
        <v>-0.0154834152048247</v>
      </c>
      <c r="T25" s="78" t="s">
        <v>451</v>
      </c>
    </row>
    <row r="26" customFormat="false" ht="15" hidden="false" customHeight="true" outlineLevel="0" collapsed="false">
      <c r="A26" s="41" t="s">
        <v>584</v>
      </c>
      <c r="B26" s="43" t="s">
        <v>582</v>
      </c>
      <c r="C26" s="49" t="n">
        <v>411</v>
      </c>
      <c r="D26" s="95" t="n">
        <v>7.99845049165212</v>
      </c>
      <c r="E26" s="42" t="n">
        <v>216280</v>
      </c>
      <c r="F26" s="44" t="n">
        <f aca="false">$B$3/E26</f>
        <v>4.62363602737193</v>
      </c>
      <c r="G26" s="42" t="n">
        <v>273</v>
      </c>
      <c r="H26" s="47" t="n">
        <v>31.2144691540002</v>
      </c>
      <c r="I26" s="42" t="n">
        <v>117707776</v>
      </c>
      <c r="J26" s="81" t="n">
        <f aca="false">I26/$B$5</f>
        <v>411.128646473678</v>
      </c>
      <c r="K26" s="42" t="n">
        <v>1</v>
      </c>
      <c r="L26" s="42" t="n">
        <v>1</v>
      </c>
      <c r="M26" s="42" t="n">
        <v>32</v>
      </c>
      <c r="N26" s="42" t="n">
        <v>416</v>
      </c>
      <c r="O26" s="42" t="n">
        <v>343</v>
      </c>
      <c r="P26" s="50" t="n">
        <f aca="false">$B$12*(LOG(J26,2)-LOG($G$13,2))*(LOG(J26,2)-LOG($G$14,2))/((LOG($G$12,2)-LOG($G$13,2))*(LOG($G$12,2)-LOG($G$14,2)))+$B$13*(LOG(J26,2)-LOG($G$12,2))*(LOG(J26,2)-LOG($G$14,2))/((LOG($G$13,2)-LOG($G$12,2))*(LOG($G$13,2)-LOG($G$14,2)))+$B$14*(LOG(J26,2)-LOG($G$12,2))*(LOG(J26,2)-LOG($G$13,2))/((LOG($G$14,2)-LOG($G$12,2))*(LOG($G$14,2)-LOG($G$13,2)))</f>
        <v>217713.18490123</v>
      </c>
      <c r="Q26" s="45" t="n">
        <f aca="false">E26/P26-1</f>
        <v>-0.00658290356590319</v>
      </c>
      <c r="R26" s="50" t="n">
        <f aca="false">$B$13+(J26-$G$13)/($G$14-$G$13)*($B$14-$B$13)</f>
        <v>219324.810375671</v>
      </c>
      <c r="S26" s="45" t="n">
        <f aca="false">E26/R26-1</f>
        <v>-0.0138826536334651</v>
      </c>
      <c r="T26" s="78" t="s">
        <v>451</v>
      </c>
    </row>
    <row r="28" customFormat="false" ht="15" hidden="false" customHeight="true" outlineLevel="0" collapsed="false">
      <c r="A28" s="52" t="s">
        <v>585</v>
      </c>
    </row>
    <row r="29" customFormat="false" ht="33.75" hidden="false" customHeight="true" outlineLevel="0" collapsed="false">
      <c r="A29" s="36" t="s">
        <v>567</v>
      </c>
      <c r="B29" s="36" t="s">
        <v>586</v>
      </c>
      <c r="C29" s="36" t="s">
        <v>587</v>
      </c>
      <c r="D29" s="36" t="s">
        <v>588</v>
      </c>
      <c r="E29" s="36" t="s">
        <v>589</v>
      </c>
      <c r="F29" s="36" t="s">
        <v>590</v>
      </c>
    </row>
    <row r="30" customFormat="false" ht="15" hidden="false" customHeight="true" outlineLevel="0" collapsed="false">
      <c r="A30" s="96" t="n">
        <v>86</v>
      </c>
      <c r="B30" s="45" t="n">
        <f aca="false">Q18</f>
        <v>-0.00958342273791302</v>
      </c>
      <c r="C30" s="45" t="n">
        <f aca="false">Q21</f>
        <v>-0.00486839560935182</v>
      </c>
      <c r="D30" s="45" t="n">
        <f aca="false">Q24</f>
        <v>-0.0117855590859961</v>
      </c>
      <c r="E30" s="97" t="n">
        <f aca="false">(D30-B30)*100</f>
        <v>-0.220213634808308</v>
      </c>
      <c r="F30" s="97" t="n">
        <f aca="false">(C30-B30)*100</f>
        <v>0.47150271285612</v>
      </c>
    </row>
    <row r="31" customFormat="false" ht="15" hidden="false" customHeight="true" outlineLevel="0" collapsed="false">
      <c r="A31" s="96" t="n">
        <v>164</v>
      </c>
      <c r="B31" s="45" t="n">
        <f aca="false">Q19</f>
        <v>-0.00559160219390165</v>
      </c>
      <c r="C31" s="45" t="n">
        <f aca="false">Q22</f>
        <v>-0.00109377917249232</v>
      </c>
      <c r="D31" s="45" t="n">
        <f aca="false">Q25</f>
        <v>-0.00681048797335293</v>
      </c>
      <c r="E31" s="97" t="n">
        <f aca="false">(D31-B31)*100</f>
        <v>-0.121888577945128</v>
      </c>
      <c r="F31" s="97" t="n">
        <f aca="false">(C31-B31)*100</f>
        <v>0.449782302140933</v>
      </c>
    </row>
    <row r="32" customFormat="false" ht="15" hidden="false" customHeight="true" outlineLevel="0" collapsed="false">
      <c r="A32" s="96" t="n">
        <v>411</v>
      </c>
      <c r="B32" s="45" t="n">
        <f aca="false">Q20</f>
        <v>-0.00549035670385945</v>
      </c>
      <c r="C32" s="45" t="n">
        <f aca="false">Q23</f>
        <v>-0.00471644048739939</v>
      </c>
      <c r="D32" s="45" t="n">
        <f aca="false">Q26</f>
        <v>-0.00658290356590319</v>
      </c>
      <c r="E32" s="97" t="n">
        <f aca="false">(D32-B32)*100</f>
        <v>-0.109254686204374</v>
      </c>
      <c r="F32" s="97" t="n">
        <f aca="false">(C32-B32)*100</f>
        <v>0.0773916216460058</v>
      </c>
    </row>
    <row r="34" customFormat="false" ht="15" hidden="false" customHeight="true" outlineLevel="0" collapsed="false">
      <c r="A34" s="52" t="s">
        <v>591</v>
      </c>
    </row>
    <row r="35" customFormat="false" ht="24" hidden="false" customHeight="true" outlineLevel="0" collapsed="false">
      <c r="A35" s="36" t="s">
        <v>592</v>
      </c>
      <c r="B35" s="36" t="s">
        <v>593</v>
      </c>
    </row>
    <row r="36" customFormat="false" ht="15" hidden="false" customHeight="true" outlineLevel="0" collapsed="false">
      <c r="A36" s="49" t="n">
        <v>32</v>
      </c>
      <c r="B36" s="82" t="n">
        <v>1.24993491172791</v>
      </c>
    </row>
    <row r="37" customFormat="false" ht="15" hidden="false" customHeight="true" outlineLevel="0" collapsed="false">
      <c r="A37" s="49" t="n">
        <v>64</v>
      </c>
      <c r="B37" s="82" t="n">
        <v>1.30091643333435</v>
      </c>
    </row>
    <row r="38" customFormat="false" ht="15" hidden="false" customHeight="true" outlineLevel="0" collapsed="false">
      <c r="A38" s="49" t="n">
        <v>128</v>
      </c>
      <c r="B38" s="82" t="n">
        <v>1.33092272281647</v>
      </c>
    </row>
    <row r="39" customFormat="false" ht="15" hidden="false" customHeight="true" outlineLevel="0" collapsed="false">
      <c r="A39" s="49" t="n">
        <v>256</v>
      </c>
      <c r="B39" s="82" t="n">
        <v>1.3549165725708</v>
      </c>
    </row>
    <row r="40" customFormat="false" ht="15" hidden="false" customHeight="true" outlineLevel="0" collapsed="false">
      <c r="A40" s="49" t="n">
        <v>512</v>
      </c>
      <c r="B40" s="82" t="n">
        <v>1.36968803405762</v>
      </c>
    </row>
    <row r="41" customFormat="false" ht="15" hidden="false" customHeight="true" outlineLevel="0" collapsed="false">
      <c r="A41" s="53" t="s">
        <v>594</v>
      </c>
      <c r="B41" s="48" t="n">
        <f aca="false">MAX(B36:B40)/MIN(B36:B40)-1</f>
        <v>0.0958074866187739</v>
      </c>
    </row>
    <row r="43" customFormat="false" ht="15" hidden="false" customHeight="true" outlineLevel="0" collapsed="false">
      <c r="A43" s="52" t="s">
        <v>595</v>
      </c>
    </row>
    <row r="44" customFormat="false" ht="45.75" hidden="false" customHeight="true" outlineLevel="0" collapsed="false">
      <c r="A44" s="36" t="s">
        <v>596</v>
      </c>
      <c r="B44" s="36" t="s">
        <v>597</v>
      </c>
      <c r="C44" s="36" t="s">
        <v>598</v>
      </c>
      <c r="D44" s="36" t="s">
        <v>599</v>
      </c>
      <c r="E44" s="36" t="s">
        <v>600</v>
      </c>
      <c r="F44" s="36" t="s">
        <v>601</v>
      </c>
      <c r="G44" s="36" t="s">
        <v>602</v>
      </c>
      <c r="H44" s="36" t="s">
        <v>603</v>
      </c>
    </row>
    <row r="45" customFormat="false" ht="23.25" hidden="false" customHeight="true" outlineLevel="0" collapsed="false">
      <c r="A45" s="41" t="s">
        <v>604</v>
      </c>
      <c r="B45" s="38" t="s">
        <v>605</v>
      </c>
      <c r="C45" s="37" t="s">
        <v>606</v>
      </c>
      <c r="D45" s="42" t="n">
        <v>827606.389160156</v>
      </c>
      <c r="E45" s="42" t="n">
        <v>824359.763916016</v>
      </c>
      <c r="F45" s="42" t="n">
        <v>835174.706298828</v>
      </c>
      <c r="G45" s="46" t="n">
        <f aca="false">(F45-D45)/(F45-E45)</f>
        <v>0.699801891751191</v>
      </c>
      <c r="H45" s="45" t="n">
        <f aca="false">(F45-E45)/F45</f>
        <v>0.012949317431726</v>
      </c>
    </row>
    <row r="46" customFormat="false" ht="15" hidden="false" customHeight="true" outlineLevel="0" collapsed="false">
      <c r="A46" s="41" t="s">
        <v>607</v>
      </c>
      <c r="B46" s="38" t="s">
        <v>608</v>
      </c>
      <c r="C46" s="37" t="s">
        <v>609</v>
      </c>
      <c r="D46" s="42" t="n">
        <v>826727.230957031</v>
      </c>
      <c r="E46" s="42" t="n">
        <v>824359.763916016</v>
      </c>
      <c r="F46" s="42" t="n">
        <v>835174.706298828</v>
      </c>
      <c r="G46" s="46" t="n">
        <f aca="false">(F46-D46)/(F46-E46)</f>
        <v>0.781092958499935</v>
      </c>
      <c r="H46" s="45" t="n">
        <f aca="false">(F46-E46)/F46</f>
        <v>0.012949317431726</v>
      </c>
    </row>
    <row r="47" customFormat="false" ht="15" hidden="false" customHeight="true" outlineLevel="0" collapsed="false">
      <c r="A47" s="41" t="s">
        <v>610</v>
      </c>
      <c r="B47" s="38" t="s">
        <v>611</v>
      </c>
      <c r="C47" s="37" t="s">
        <v>612</v>
      </c>
      <c r="D47" s="42" t="n">
        <v>831261.622070313</v>
      </c>
      <c r="E47" s="42" t="n">
        <v>824359.763916016</v>
      </c>
      <c r="F47" s="42" t="n">
        <v>835174.706298828</v>
      </c>
      <c r="G47" s="46" t="n">
        <f aca="false">(F47-D47)/(F47-E47)</f>
        <v>0.361822013470366</v>
      </c>
      <c r="H47" s="45" t="n">
        <f aca="false">(F47-E47)/F47</f>
        <v>0.012949317431726</v>
      </c>
    </row>
    <row r="49" customFormat="false" ht="15" hidden="false" customHeight="true" outlineLevel="0" collapsed="false">
      <c r="A49" s="52" t="s">
        <v>613</v>
      </c>
    </row>
    <row r="50" customFormat="false" ht="39.75" hidden="false" customHeight="true" outlineLevel="0" collapsed="false">
      <c r="A50" s="36" t="s">
        <v>125</v>
      </c>
      <c r="B50" s="36" t="s">
        <v>98</v>
      </c>
      <c r="C50" s="36" t="s">
        <v>446</v>
      </c>
      <c r="D50" s="36" t="s">
        <v>570</v>
      </c>
      <c r="E50" s="36" t="s">
        <v>571</v>
      </c>
      <c r="F50" s="36" t="s">
        <v>614</v>
      </c>
      <c r="G50" s="36" t="s">
        <v>573</v>
      </c>
      <c r="H50" s="36" t="s">
        <v>208</v>
      </c>
      <c r="I50" s="36" t="s">
        <v>378</v>
      </c>
      <c r="J50" s="36" t="s">
        <v>382</v>
      </c>
      <c r="K50" s="36" t="s">
        <v>383</v>
      </c>
      <c r="L50" s="36" t="s">
        <v>384</v>
      </c>
      <c r="M50" s="36" t="s">
        <v>385</v>
      </c>
      <c r="N50" s="36" t="s">
        <v>386</v>
      </c>
    </row>
    <row r="51" customFormat="false" ht="15" hidden="false" customHeight="true" outlineLevel="0" collapsed="false">
      <c r="A51" s="41" t="s">
        <v>615</v>
      </c>
      <c r="B51" s="42" t="n">
        <v>239411</v>
      </c>
      <c r="C51" s="81" t="n">
        <f aca="false">47322112/$B$5</f>
        <v>165.286241198167</v>
      </c>
      <c r="D51" s="50" t="n">
        <f aca="false">$B$11*(LOG(C51,2)-LOG($G$12,2))*(LOG(C51,2)-LOG($G$13,2))/((LOG($G$11,2)-LOG($G$12,2))*(LOG($G$11,2)-LOG($G$13,2)))+$B$12*(LOG(C51,2)-LOG($G$11,2))*(LOG(C51,2)-LOG($G$13,2))/((LOG($G$12,2)-LOG($G$11,2))*(LOG($G$12,2)-LOG($G$13,2)))+$B$13*(LOG(C51,2)-LOG($G$11,2))*(LOG(C51,2)-LOG($G$12,2))/((LOG($G$13,2)-LOG($G$11,2))*(LOG($G$13,2)-LOG($G$12,2)))</f>
        <v>239302.596739645</v>
      </c>
      <c r="E51" s="45" t="n">
        <f aca="false">B51/D51-1</f>
        <v>0.000452996590226684</v>
      </c>
      <c r="F51" s="50" t="n">
        <f aca="false">$B$12+(C51-$G$12)/($G$13-$G$12)*($B$13-$B$12)</f>
        <v>241444.497316637</v>
      </c>
      <c r="G51" s="45" t="n">
        <f aca="false">B51/F51-1</f>
        <v>-0.00842221437736912</v>
      </c>
      <c r="H51" s="47" t="n">
        <v>34.1970370210001</v>
      </c>
      <c r="I51" s="42" t="n">
        <v>562</v>
      </c>
      <c r="J51" s="42" t="n">
        <v>1</v>
      </c>
      <c r="K51" s="42" t="n">
        <v>1</v>
      </c>
      <c r="L51" s="42" t="n">
        <v>1680</v>
      </c>
      <c r="M51" s="42" t="n">
        <v>254</v>
      </c>
      <c r="N51" s="42" t="n">
        <v>12</v>
      </c>
    </row>
    <row r="53" customFormat="false" ht="48" hidden="false" customHeight="true" outlineLevel="0" collapsed="false">
      <c r="A53" s="32" t="s">
        <v>616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</row>
  </sheetData>
  <mergeCells count="1">
    <mergeCell ref="A53:N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8" min="6" style="1" width="12"/>
    <col collapsed="false" customWidth="true" hidden="false" outlineLevel="0" max="9" min="9" style="1" width="15"/>
    <col collapsed="false" customWidth="true" hidden="false" outlineLevel="0" max="10" min="10" style="1" width="11"/>
    <col collapsed="false" customWidth="true" hidden="false" outlineLevel="0" max="15" min="11" style="1" width="9"/>
    <col collapsed="false" customWidth="true" hidden="false" outlineLevel="0" max="16" min="16" style="1" width="17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20" min="19" style="1" width="12"/>
  </cols>
  <sheetData>
    <row r="1" customFormat="false" ht="17.25" hidden="false" customHeight="true" outlineLevel="0" collapsed="false">
      <c r="A1" s="33" t="s">
        <v>617</v>
      </c>
    </row>
    <row r="2" customFormat="false" ht="15" hidden="false" customHeight="true" outlineLevel="0" collapsed="false">
      <c r="A2" s="34" t="s">
        <v>561</v>
      </c>
    </row>
    <row r="3" customFormat="false" ht="15" hidden="false" customHeight="true" outlineLevel="0" collapsed="false">
      <c r="A3" s="53" t="s">
        <v>238</v>
      </c>
      <c r="B3" s="42" t="n">
        <v>964296</v>
      </c>
    </row>
    <row r="4" customFormat="false" ht="15" hidden="false" customHeight="true" outlineLevel="0" collapsed="false">
      <c r="A4" s="53" t="s">
        <v>562</v>
      </c>
      <c r="B4" s="42" t="n">
        <v>425852</v>
      </c>
    </row>
    <row r="5" customFormat="false" ht="15" hidden="false" customHeight="true" outlineLevel="0" collapsed="false">
      <c r="A5" s="53" t="s">
        <v>110</v>
      </c>
      <c r="B5" s="42" t="n">
        <v>425856</v>
      </c>
    </row>
    <row r="6" customFormat="false" ht="15" hidden="false" customHeight="true" outlineLevel="0" collapsed="false">
      <c r="A6" s="53" t="s">
        <v>563</v>
      </c>
      <c r="B6" s="47" t="n">
        <v>209.844939343</v>
      </c>
    </row>
    <row r="8" customFormat="false" ht="15" hidden="false" customHeight="true" outlineLevel="0" collapsed="false">
      <c r="A8" s="52" t="s">
        <v>443</v>
      </c>
    </row>
    <row r="9" customFormat="false" ht="45.75" hidden="false" customHeight="true" outlineLevel="0" collapsed="false">
      <c r="A9" s="36" t="s">
        <v>444</v>
      </c>
      <c r="B9" s="36" t="s">
        <v>98</v>
      </c>
      <c r="C9" s="36" t="s">
        <v>100</v>
      </c>
      <c r="D9" s="36" t="s">
        <v>378</v>
      </c>
      <c r="E9" s="36" t="s">
        <v>208</v>
      </c>
      <c r="F9" s="36" t="s">
        <v>126</v>
      </c>
      <c r="G9" s="36" t="s">
        <v>564</v>
      </c>
    </row>
    <row r="10" customFormat="false" ht="15" hidden="false" customHeight="true" outlineLevel="0" collapsed="false">
      <c r="A10" s="41" t="s">
        <v>128</v>
      </c>
      <c r="B10" s="42" t="n">
        <v>381518</v>
      </c>
      <c r="C10" s="44" t="n">
        <f aca="false">$B$3/B10</f>
        <v>2.5275242583574</v>
      </c>
      <c r="D10" s="42" t="n">
        <v>1705</v>
      </c>
      <c r="E10" s="47" t="n">
        <v>39.8934038680001</v>
      </c>
      <c r="F10" s="42" t="n">
        <v>13627392</v>
      </c>
      <c r="G10" s="81" t="n">
        <f aca="false">F10/$B$5</f>
        <v>32</v>
      </c>
    </row>
    <row r="11" customFormat="false" ht="15" hidden="false" customHeight="true" outlineLevel="0" collapsed="false">
      <c r="A11" s="41" t="s">
        <v>131</v>
      </c>
      <c r="B11" s="42" t="n">
        <v>327262</v>
      </c>
      <c r="C11" s="44" t="n">
        <f aca="false">$B$3/B11</f>
        <v>2.94655658157684</v>
      </c>
      <c r="D11" s="42" t="n">
        <v>1705</v>
      </c>
      <c r="E11" s="47" t="n">
        <v>40.8602024110001</v>
      </c>
      <c r="F11" s="42" t="n">
        <v>27254784</v>
      </c>
      <c r="G11" s="81" t="n">
        <f aca="false">F11/$B$5</f>
        <v>64</v>
      </c>
    </row>
    <row r="12" customFormat="false" ht="15" hidden="false" customHeight="true" outlineLevel="0" collapsed="false">
      <c r="A12" s="41" t="s">
        <v>132</v>
      </c>
      <c r="B12" s="42" t="n">
        <v>284646</v>
      </c>
      <c r="C12" s="44" t="n">
        <f aca="false">$B$3/B12</f>
        <v>3.38770262009654</v>
      </c>
      <c r="D12" s="42" t="n">
        <v>873</v>
      </c>
      <c r="E12" s="47" t="n">
        <v>41.928129618</v>
      </c>
      <c r="F12" s="42" t="n">
        <v>54509568</v>
      </c>
      <c r="G12" s="81" t="n">
        <f aca="false">F12/$B$5</f>
        <v>128</v>
      </c>
    </row>
    <row r="13" customFormat="false" ht="15" hidden="false" customHeight="true" outlineLevel="0" collapsed="false">
      <c r="A13" s="41" t="s">
        <v>134</v>
      </c>
      <c r="B13" s="42" t="n">
        <v>255050</v>
      </c>
      <c r="C13" s="44" t="n">
        <f aca="false">$B$3/B13</f>
        <v>3.78081160556754</v>
      </c>
      <c r="D13" s="42" t="n">
        <v>457</v>
      </c>
      <c r="E13" s="47" t="n">
        <v>41.7703977260001</v>
      </c>
      <c r="F13" s="42" t="n">
        <v>109002752</v>
      </c>
      <c r="G13" s="81" t="n">
        <f aca="false">F13/$B$5</f>
        <v>255.961526901112</v>
      </c>
    </row>
    <row r="14" customFormat="false" ht="15" hidden="false" customHeight="true" outlineLevel="0" collapsed="false">
      <c r="A14" s="41" t="s">
        <v>94</v>
      </c>
      <c r="B14" s="42" t="n">
        <v>235345</v>
      </c>
      <c r="C14" s="44" t="n">
        <f aca="false">$B$3/B14</f>
        <v>4.09737194331726</v>
      </c>
      <c r="D14" s="42" t="n">
        <v>250</v>
      </c>
      <c r="E14" s="47" t="n">
        <v>42.155142629</v>
      </c>
      <c r="F14" s="42" t="n">
        <v>217923584</v>
      </c>
      <c r="G14" s="81" t="n">
        <f aca="false">F14/$B$5</f>
        <v>511.730688307785</v>
      </c>
    </row>
    <row r="16" customFormat="false" ht="15" hidden="false" customHeight="true" outlineLevel="0" collapsed="false">
      <c r="A16" s="52" t="s">
        <v>565</v>
      </c>
    </row>
    <row r="17" customFormat="false" ht="45.75" hidden="false" customHeight="true" outlineLevel="0" collapsed="false">
      <c r="A17" s="36" t="s">
        <v>125</v>
      </c>
      <c r="B17" s="36" t="s">
        <v>566</v>
      </c>
      <c r="C17" s="36" t="s">
        <v>567</v>
      </c>
      <c r="D17" s="36" t="s">
        <v>568</v>
      </c>
      <c r="E17" s="36" t="s">
        <v>98</v>
      </c>
      <c r="F17" s="36" t="s">
        <v>569</v>
      </c>
      <c r="G17" s="36" t="s">
        <v>378</v>
      </c>
      <c r="H17" s="36" t="s">
        <v>208</v>
      </c>
      <c r="I17" s="36" t="s">
        <v>126</v>
      </c>
      <c r="J17" s="36" t="s">
        <v>446</v>
      </c>
      <c r="K17" s="36" t="s">
        <v>382</v>
      </c>
      <c r="L17" s="36" t="s">
        <v>383</v>
      </c>
      <c r="M17" s="36" t="s">
        <v>384</v>
      </c>
      <c r="N17" s="36" t="s">
        <v>385</v>
      </c>
      <c r="O17" s="36" t="s">
        <v>386</v>
      </c>
      <c r="P17" s="36" t="s">
        <v>570</v>
      </c>
      <c r="Q17" s="36" t="s">
        <v>571</v>
      </c>
      <c r="R17" s="36" t="s">
        <v>572</v>
      </c>
      <c r="S17" s="36" t="s">
        <v>573</v>
      </c>
      <c r="T17" s="36" t="s">
        <v>449</v>
      </c>
    </row>
    <row r="18" customFormat="false" ht="15" hidden="false" customHeight="true" outlineLevel="0" collapsed="false">
      <c r="A18" s="41" t="s">
        <v>574</v>
      </c>
      <c r="B18" s="43" t="s">
        <v>253</v>
      </c>
      <c r="C18" s="49" t="n">
        <v>86</v>
      </c>
      <c r="D18" s="95" t="n">
        <v>137.600321870516</v>
      </c>
      <c r="E18" s="42" t="n">
        <v>307179</v>
      </c>
      <c r="F18" s="44" t="n">
        <f aca="false">$B$3/E18</f>
        <v>3.1391989686795</v>
      </c>
      <c r="G18" s="42" t="n">
        <v>1393</v>
      </c>
      <c r="H18" s="47" t="n">
        <v>43.087033581</v>
      </c>
      <c r="I18" s="42" t="n">
        <v>36620288</v>
      </c>
      <c r="J18" s="81" t="n">
        <f aca="false">I18/$B$5</f>
        <v>85.9921851517884</v>
      </c>
      <c r="K18" s="42" t="n">
        <v>838</v>
      </c>
      <c r="L18" s="42" t="n">
        <v>3739</v>
      </c>
      <c r="M18" s="42" t="n">
        <v>1248</v>
      </c>
      <c r="N18" s="42" t="n">
        <v>0</v>
      </c>
      <c r="O18" s="42" t="n">
        <v>0</v>
      </c>
      <c r="P18" s="50" t="n">
        <f aca="false">$B$10*(LOG(J18,2)-LOG($G$11,2))*(LOG(J18,2)-LOG($G$12,2))/((LOG($G$10,2)-LOG($G$11,2))*(LOG($G$10,2)-LOG($G$12,2)))+$B$11*(LOG(J18,2)-LOG($G$10,2))*(LOG(J18,2)-LOG($G$12,2))/((LOG($G$11,2)-LOG($G$10,2))*(LOG($G$11,2)-LOG($G$12,2)))+$B$12*(LOG(J18,2)-LOG($G$10,2))*(LOG(J18,2)-LOG($G$11,2))/((LOG($G$12,2)-LOG($G$10,2))*(LOG($G$12,2)-LOG($G$11,2)))</f>
        <v>307678.643649855</v>
      </c>
      <c r="Q18" s="45" t="n">
        <f aca="false">E18/P18-1</f>
        <v>-0.00162391397702544</v>
      </c>
      <c r="R18" s="50" t="n">
        <f aca="false">$B$11+(J18-$G$11)/($G$12-$G$11)*($B$12-$B$11)</f>
        <v>312617.953712053</v>
      </c>
      <c r="S18" s="45" t="n">
        <f aca="false">E18/R18-1</f>
        <v>-0.0173980849387256</v>
      </c>
      <c r="T18" s="78" t="s">
        <v>451</v>
      </c>
    </row>
    <row r="19" customFormat="false" ht="15" hidden="false" customHeight="true" outlineLevel="0" collapsed="false">
      <c r="A19" s="41" t="s">
        <v>575</v>
      </c>
      <c r="B19" s="43" t="s">
        <v>253</v>
      </c>
      <c r="C19" s="49" t="n">
        <v>164</v>
      </c>
      <c r="D19" s="95" t="n">
        <v>44.8402076703953</v>
      </c>
      <c r="E19" s="42" t="n">
        <v>273084</v>
      </c>
      <c r="F19" s="44" t="n">
        <f aca="false">$B$3/E19</f>
        <v>3.5311332776728</v>
      </c>
      <c r="G19" s="42" t="n">
        <v>780</v>
      </c>
      <c r="H19" s="47" t="n">
        <v>41.7621810220001</v>
      </c>
      <c r="I19" s="42" t="n">
        <v>69830656</v>
      </c>
      <c r="J19" s="81" t="n">
        <f aca="false">I19/$B$5</f>
        <v>163.977156597535</v>
      </c>
      <c r="K19" s="42" t="n">
        <v>38</v>
      </c>
      <c r="L19" s="42" t="n">
        <v>231</v>
      </c>
      <c r="M19" s="42" t="n">
        <v>2210</v>
      </c>
      <c r="N19" s="42" t="n">
        <v>494</v>
      </c>
      <c r="O19" s="42" t="n">
        <v>1</v>
      </c>
      <c r="P19" s="50" t="n">
        <f aca="false">$B$11*(LOG(J19,2)-LOG($G$12,2))*(LOG(J19,2)-LOG($G$13,2))/((LOG($G$11,2)-LOG($G$12,2))*(LOG($G$11,2)-LOG($G$13,2)))+$B$12*(LOG(J19,2)-LOG($G$11,2))*(LOG(J19,2)-LOG($G$13,2))/((LOG($G$12,2)-LOG($G$11,2))*(LOG($G$12,2)-LOG($G$13,2)))+$B$13*(LOG(J19,2)-LOG($G$11,2))*(LOG(J19,2)-LOG($G$12,2))/((LOG($G$13,2)-LOG($G$11,2))*(LOG($G$13,2)-LOG($G$12,2)))</f>
        <v>272573.594354333</v>
      </c>
      <c r="Q19" s="45" t="n">
        <f aca="false">E19/P19-1</f>
        <v>0.00187254252150315</v>
      </c>
      <c r="R19" s="50" t="n">
        <f aca="false">$B$12+(J19-$G$12)/($G$13-$G$12)*($B$13-$B$12)</f>
        <v>276324.905742634</v>
      </c>
      <c r="S19" s="45" t="n">
        <f aca="false">E19/R19-1</f>
        <v>-0.011728605258812</v>
      </c>
      <c r="T19" s="78" t="s">
        <v>451</v>
      </c>
    </row>
    <row r="20" customFormat="false" ht="15" hidden="false" customHeight="true" outlineLevel="0" collapsed="false">
      <c r="A20" s="41" t="s">
        <v>576</v>
      </c>
      <c r="B20" s="43" t="s">
        <v>253</v>
      </c>
      <c r="C20" s="49" t="n">
        <v>411</v>
      </c>
      <c r="D20" s="95" t="n">
        <v>9.85780806171105</v>
      </c>
      <c r="E20" s="42" t="n">
        <v>240698</v>
      </c>
      <c r="F20" s="44" t="n">
        <f aca="false">$B$3/E20</f>
        <v>4.00624849396339</v>
      </c>
      <c r="G20" s="42" t="n">
        <v>338</v>
      </c>
      <c r="H20" s="47" t="n">
        <v>41.7739391949999</v>
      </c>
      <c r="I20" s="42" t="n">
        <v>175101952</v>
      </c>
      <c r="J20" s="81" t="n">
        <f aca="false">I20/$B$5</f>
        <v>411.176435226931</v>
      </c>
      <c r="K20" s="42" t="n">
        <v>2</v>
      </c>
      <c r="L20" s="42" t="n">
        <v>13</v>
      </c>
      <c r="M20" s="42" t="n">
        <v>52</v>
      </c>
      <c r="N20" s="42" t="n">
        <v>610</v>
      </c>
      <c r="O20" s="42" t="n">
        <v>512</v>
      </c>
      <c r="P20" s="50" t="n">
        <f aca="false">$B$12*(LOG(J20,2)-LOG($G$13,2))*(LOG(J20,2)-LOG($G$14,2))/((LOG($G$12,2)-LOG($G$13,2))*(LOG($G$12,2)-LOG($G$14,2)))+$B$13*(LOG(J20,2)-LOG($G$12,2))*(LOG(J20,2)-LOG($G$14,2))/((LOG($G$13,2)-LOG($G$12,2))*(LOG($G$13,2)-LOG($G$14,2)))+$B$14*(LOG(J20,2)-LOG($G$12,2))*(LOG(J20,2)-LOG($G$13,2))/((LOG($G$14,2)-LOG($G$12,2))*(LOG($G$14,2)-LOG($G$13,2)))</f>
        <v>240500.448840635</v>
      </c>
      <c r="Q20" s="45" t="n">
        <f aca="false">E20/P20-1</f>
        <v>0.000821417009064129</v>
      </c>
      <c r="R20" s="50" t="n">
        <f aca="false">$B$13+(J20-$G$13)/($G$14-$G$13)*($B$14-$B$13)</f>
        <v>243091.913451414</v>
      </c>
      <c r="S20" s="45" t="n">
        <f aca="false">E20/R20-1</f>
        <v>-0.00984777081814547</v>
      </c>
      <c r="T20" s="78" t="s">
        <v>451</v>
      </c>
    </row>
    <row r="21" customFormat="false" ht="15" hidden="false" customHeight="true" outlineLevel="0" collapsed="false">
      <c r="A21" s="41" t="s">
        <v>577</v>
      </c>
      <c r="B21" s="43" t="s">
        <v>578</v>
      </c>
      <c r="C21" s="49" t="n">
        <v>86</v>
      </c>
      <c r="D21" s="95" t="n">
        <v>129.420442652761</v>
      </c>
      <c r="E21" s="42" t="n">
        <v>309327</v>
      </c>
      <c r="F21" s="44" t="n">
        <f aca="false">$B$3/E21</f>
        <v>3.11740003297481</v>
      </c>
      <c r="G21" s="42" t="n">
        <v>1329</v>
      </c>
      <c r="H21" s="47" t="n">
        <v>42.0084172100001</v>
      </c>
      <c r="I21" s="42" t="n">
        <v>36626432</v>
      </c>
      <c r="J21" s="81" t="n">
        <f aca="false">I21/$B$5</f>
        <v>86.0066125638714</v>
      </c>
      <c r="K21" s="42" t="n">
        <v>2920</v>
      </c>
      <c r="L21" s="42" t="n">
        <v>2192</v>
      </c>
      <c r="M21" s="42" t="n">
        <v>1497</v>
      </c>
      <c r="N21" s="42" t="n">
        <v>2</v>
      </c>
      <c r="O21" s="42" t="n">
        <v>0</v>
      </c>
      <c r="P21" s="50" t="n">
        <f aca="false">$B$10*(LOG(J21,2)-LOG($G$11,2))*(LOG(J21,2)-LOG($G$12,2))/((LOG($G$10,2)-LOG($G$11,2))*(LOG($G$10,2)-LOG($G$12,2)))+$B$11*(LOG(J21,2)-LOG($G$10,2))*(LOG(J21,2)-LOG($G$12,2))/((LOG($G$11,2)-LOG($G$10,2))*(LOG($G$11,2)-LOG($G$12,2)))+$B$12*(LOG(J21,2)-LOG($G$10,2))*(LOG(J21,2)-LOG($G$11,2))/((LOG($G$12,2)-LOG($G$10,2))*(LOG($G$12,2)-LOG($G$11,2)))</f>
        <v>307668.121581594</v>
      </c>
      <c r="Q21" s="45" t="n">
        <f aca="false">E21/P21-1</f>
        <v>0.00539177867982654</v>
      </c>
      <c r="R21" s="50" t="n">
        <f aca="false">$B$11+(J21-$G$11)/($G$12-$G$11)*($B$12-$B$11)</f>
        <v>312608.346859032</v>
      </c>
      <c r="S21" s="45" t="n">
        <f aca="false">E21/R21-1</f>
        <v>-0.0104966706487587</v>
      </c>
      <c r="T21" s="78" t="s">
        <v>451</v>
      </c>
    </row>
    <row r="22" customFormat="false" ht="15" hidden="false" customHeight="true" outlineLevel="0" collapsed="false">
      <c r="A22" s="41" t="s">
        <v>579</v>
      </c>
      <c r="B22" s="43" t="s">
        <v>578</v>
      </c>
      <c r="C22" s="49" t="n">
        <v>164</v>
      </c>
      <c r="D22" s="95" t="n">
        <v>46.4634572648827</v>
      </c>
      <c r="E22" s="42" t="n">
        <v>275977</v>
      </c>
      <c r="F22" s="44" t="n">
        <f aca="false">$B$3/E22</f>
        <v>3.49411726339514</v>
      </c>
      <c r="G22" s="42" t="n">
        <v>844</v>
      </c>
      <c r="H22" s="47" t="n">
        <v>41.4348104679998</v>
      </c>
      <c r="I22" s="42" t="n">
        <v>69830656</v>
      </c>
      <c r="J22" s="81" t="n">
        <f aca="false">I22/$B$5</f>
        <v>163.977156597535</v>
      </c>
      <c r="K22" s="42" t="n">
        <v>798</v>
      </c>
      <c r="L22" s="42" t="n">
        <v>581</v>
      </c>
      <c r="M22" s="42" t="n">
        <v>1631</v>
      </c>
      <c r="N22" s="42" t="n">
        <v>597</v>
      </c>
      <c r="O22" s="42" t="n">
        <v>3</v>
      </c>
      <c r="P22" s="50" t="n">
        <f aca="false">$B$11*(LOG(J22,2)-LOG($G$12,2))*(LOG(J22,2)-LOG($G$13,2))/((LOG($G$11,2)-LOG($G$12,2))*(LOG($G$11,2)-LOG($G$13,2)))+$B$12*(LOG(J22,2)-LOG($G$11,2))*(LOG(J22,2)-LOG($G$13,2))/((LOG($G$12,2)-LOG($G$11,2))*(LOG($G$12,2)-LOG($G$13,2)))+$B$13*(LOG(J22,2)-LOG($G$11,2))*(LOG(J22,2)-LOG($G$12,2))/((LOG($G$13,2)-LOG($G$11,2))*(LOG($G$13,2)-LOG($G$12,2)))</f>
        <v>272573.594354333</v>
      </c>
      <c r="Q22" s="45" t="n">
        <f aca="false">E22/P22-1</f>
        <v>0.0124861898443589</v>
      </c>
      <c r="R22" s="50" t="n">
        <f aca="false">$B$12+(J22-$G$12)/($G$13-$G$12)*($B$13-$B$12)</f>
        <v>276324.905742634</v>
      </c>
      <c r="S22" s="45" t="n">
        <f aca="false">E22/R22-1</f>
        <v>-0.00125904591082293</v>
      </c>
      <c r="T22" s="78" t="s">
        <v>451</v>
      </c>
    </row>
    <row r="23" customFormat="false" ht="15" hidden="false" customHeight="true" outlineLevel="0" collapsed="false">
      <c r="A23" s="41" t="s">
        <v>580</v>
      </c>
      <c r="B23" s="43" t="s">
        <v>578</v>
      </c>
      <c r="C23" s="49" t="n">
        <v>411</v>
      </c>
      <c r="D23" s="95" t="n">
        <v>9.78681411795026</v>
      </c>
      <c r="E23" s="42" t="n">
        <v>241936</v>
      </c>
      <c r="F23" s="44" t="n">
        <f aca="false">$B$3/E23</f>
        <v>3.9857482970703</v>
      </c>
      <c r="G23" s="42" t="n">
        <v>369</v>
      </c>
      <c r="H23" s="47" t="n">
        <v>41.773910037</v>
      </c>
      <c r="I23" s="42" t="n">
        <v>174974976</v>
      </c>
      <c r="J23" s="81" t="n">
        <f aca="false">I23/$B$5</f>
        <v>410.87826871055</v>
      </c>
      <c r="K23" s="42" t="n">
        <v>134</v>
      </c>
      <c r="L23" s="42" t="n">
        <v>81</v>
      </c>
      <c r="M23" s="42" t="n">
        <v>143</v>
      </c>
      <c r="N23" s="42" t="n">
        <v>483</v>
      </c>
      <c r="O23" s="42" t="n">
        <v>536</v>
      </c>
      <c r="P23" s="50" t="n">
        <f aca="false">$B$12*(LOG(J23,2)-LOG($G$13,2))*(LOG(J23,2)-LOG($G$14,2))/((LOG($G$12,2)-LOG($G$13,2))*(LOG($G$12,2)-LOG($G$14,2)))+$B$13*(LOG(J23,2)-LOG($G$12,2))*(LOG(J23,2)-LOG($G$14,2))/((LOG($G$13,2)-LOG($G$12,2))*(LOG($G$13,2)-LOG($G$14,2)))+$B$14*(LOG(J23,2)-LOG($G$12,2))*(LOG(J23,2)-LOG($G$13,2))/((LOG($G$14,2)-LOG($G$12,2))*(LOG($G$14,2)-LOG($G$13,2)))</f>
        <v>240519.182214673</v>
      </c>
      <c r="Q23" s="45" t="n">
        <f aca="false">E23/P23-1</f>
        <v>0.00589066440472985</v>
      </c>
      <c r="R23" s="50" t="n">
        <f aca="false">$B$13+(J23-$G$13)/($G$14-$G$13)*($B$14-$B$13)</f>
        <v>243114.884833785</v>
      </c>
      <c r="S23" s="45" t="n">
        <f aca="false">E23/R23-1</f>
        <v>-0.00484908538031559</v>
      </c>
      <c r="T23" s="78" t="s">
        <v>451</v>
      </c>
    </row>
    <row r="24" customFormat="false" ht="15" hidden="false" customHeight="true" outlineLevel="0" collapsed="false">
      <c r="A24" s="41" t="s">
        <v>581</v>
      </c>
      <c r="B24" s="43" t="s">
        <v>582</v>
      </c>
      <c r="C24" s="49" t="n">
        <v>86</v>
      </c>
      <c r="D24" s="95" t="n">
        <v>112.632454580336</v>
      </c>
      <c r="E24" s="42" t="n">
        <v>306770</v>
      </c>
      <c r="F24" s="44" t="n">
        <f aca="false">$B$3/E24</f>
        <v>3.14338429442253</v>
      </c>
      <c r="G24" s="42" t="n">
        <v>1403</v>
      </c>
      <c r="H24" s="47" t="n">
        <v>42.0318017979998</v>
      </c>
      <c r="I24" s="42" t="n">
        <v>36622336</v>
      </c>
      <c r="J24" s="81" t="n">
        <f aca="false">I24/$B$5</f>
        <v>85.9969942891494</v>
      </c>
      <c r="K24" s="42" t="n">
        <v>516</v>
      </c>
      <c r="L24" s="42" t="n">
        <v>3980</v>
      </c>
      <c r="M24" s="42" t="n">
        <v>1208</v>
      </c>
      <c r="N24" s="42" t="n">
        <v>0</v>
      </c>
      <c r="O24" s="42" t="n">
        <v>0</v>
      </c>
      <c r="P24" s="50" t="n">
        <f aca="false">$B$10*(LOG(J24,2)-LOG($G$11,2))*(LOG(J24,2)-LOG($G$12,2))/((LOG($G$10,2)-LOG($G$11,2))*(LOG($G$10,2)-LOG($G$12,2)))+$B$11*(LOG(J24,2)-LOG($G$10,2))*(LOG(J24,2)-LOG($G$12,2))/((LOG($G$11,2)-LOG($G$10,2))*(LOG($G$11,2)-LOG($G$12,2)))+$B$12*(LOG(J24,2)-LOG($G$10,2))*(LOG(J24,2)-LOG($G$11,2))/((LOG($G$12,2)-LOG($G$10,2))*(LOG($G$12,2)-LOG($G$11,2)))</f>
        <v>307675.136021868</v>
      </c>
      <c r="Q24" s="45" t="n">
        <f aca="false">E24/P24-1</f>
        <v>-0.00294185624997545</v>
      </c>
      <c r="R24" s="50" t="n">
        <f aca="false">$B$11+(J24-$G$11)/($G$12-$G$11)*($B$12-$B$11)</f>
        <v>312614.751427713</v>
      </c>
      <c r="S24" s="45" t="n">
        <f aca="false">E24/R24-1</f>
        <v>-0.0186963391875133</v>
      </c>
      <c r="T24" s="78" t="s">
        <v>451</v>
      </c>
    </row>
    <row r="25" customFormat="false" ht="15" hidden="false" customHeight="true" outlineLevel="0" collapsed="false">
      <c r="A25" s="41" t="s">
        <v>583</v>
      </c>
      <c r="B25" s="43" t="s">
        <v>582</v>
      </c>
      <c r="C25" s="49" t="n">
        <v>164</v>
      </c>
      <c r="D25" s="95" t="n">
        <v>36.0662402468905</v>
      </c>
      <c r="E25" s="42" t="n">
        <v>272625</v>
      </c>
      <c r="F25" s="44" t="n">
        <f aca="false">$B$3/E25</f>
        <v>3.53707840440165</v>
      </c>
      <c r="G25" s="42" t="n">
        <v>767</v>
      </c>
      <c r="H25" s="47" t="n">
        <v>41.0852937180002</v>
      </c>
      <c r="I25" s="42" t="n">
        <v>69840896</v>
      </c>
      <c r="J25" s="81" t="n">
        <f aca="false">I25/$B$5</f>
        <v>164.00120228434</v>
      </c>
      <c r="K25" s="42" t="n">
        <v>4</v>
      </c>
      <c r="L25" s="42" t="n">
        <v>102</v>
      </c>
      <c r="M25" s="42" t="n">
        <v>2321</v>
      </c>
      <c r="N25" s="42" t="n">
        <v>475</v>
      </c>
      <c r="O25" s="42" t="n">
        <v>1</v>
      </c>
      <c r="P25" s="50" t="n">
        <f aca="false">$B$11*(LOG(J25,2)-LOG($G$12,2))*(LOG(J25,2)-LOG($G$13,2))/((LOG($G$11,2)-LOG($G$12,2))*(LOG($G$11,2)-LOG($G$13,2)))+$B$12*(LOG(J25,2)-LOG($G$11,2))*(LOG(J25,2)-LOG($G$13,2))/((LOG($G$12,2)-LOG($G$11,2))*(LOG($G$12,2)-LOG($G$13,2)))+$B$13*(LOG(J25,2)-LOG($G$11,2))*(LOG(J25,2)-LOG($G$12,2))/((LOG($G$13,2)-LOG($G$11,2))*(LOG($G$13,2)-LOG($G$12,2)))</f>
        <v>272566.940046669</v>
      </c>
      <c r="Q25" s="45" t="n">
        <f aca="false">E25/P25-1</f>
        <v>0.000213011722263179</v>
      </c>
      <c r="R25" s="50" t="n">
        <f aca="false">$B$12+(J25-$G$12)/($G$13-$G$12)*($B$13-$B$12)</f>
        <v>276319.344257366</v>
      </c>
      <c r="S25" s="45" t="n">
        <f aca="false">E25/R25-1</f>
        <v>-0.0133698357865429</v>
      </c>
      <c r="T25" s="78" t="s">
        <v>451</v>
      </c>
    </row>
    <row r="26" customFormat="false" ht="15" hidden="false" customHeight="true" outlineLevel="0" collapsed="false">
      <c r="A26" s="41" t="s">
        <v>584</v>
      </c>
      <c r="B26" s="43" t="s">
        <v>582</v>
      </c>
      <c r="C26" s="49" t="n">
        <v>411</v>
      </c>
      <c r="D26" s="95" t="n">
        <v>7.94002936824521</v>
      </c>
      <c r="E26" s="42" t="n">
        <v>240379</v>
      </c>
      <c r="F26" s="44" t="n">
        <f aca="false">$B$3/E26</f>
        <v>4.01156507016004</v>
      </c>
      <c r="G26" s="42" t="n">
        <v>333</v>
      </c>
      <c r="H26" s="47" t="n">
        <v>41.7520696199999</v>
      </c>
      <c r="I26" s="42" t="n">
        <v>175022080</v>
      </c>
      <c r="J26" s="81" t="n">
        <f aca="false">I26/$B$5</f>
        <v>410.988878869853</v>
      </c>
      <c r="K26" s="42" t="n">
        <v>0</v>
      </c>
      <c r="L26" s="42" t="n">
        <v>2</v>
      </c>
      <c r="M26" s="42" t="n">
        <v>18</v>
      </c>
      <c r="N26" s="42" t="n">
        <v>642</v>
      </c>
      <c r="O26" s="42" t="n">
        <v>506</v>
      </c>
      <c r="P26" s="50" t="n">
        <f aca="false">$B$12*(LOG(J26,2)-LOG($G$13,2))*(LOG(J26,2)-LOG($G$14,2))/((LOG($G$12,2)-LOG($G$13,2))*(LOG($G$12,2)-LOG($G$14,2)))+$B$13*(LOG(J26,2)-LOG($G$12,2))*(LOG(J26,2)-LOG($G$14,2))/((LOG($G$13,2)-LOG($G$12,2))*(LOG($G$13,2)-LOG($G$14,2)))+$B$14*(LOG(J26,2)-LOG($G$12,2))*(LOG(J26,2)-LOG($G$13,2))/((LOG($G$14,2)-LOG($G$12,2))*(LOG($G$14,2)-LOG($G$13,2)))</f>
        <v>240512.229887501</v>
      </c>
      <c r="Q26" s="45" t="n">
        <f aca="false">E26/P26-1</f>
        <v>-0.000553942257171425</v>
      </c>
      <c r="R26" s="50" t="n">
        <f aca="false">$B$13+(J26-$G$13)/($G$14-$G$13)*($B$14-$B$13)</f>
        <v>243106.363191937</v>
      </c>
      <c r="S26" s="45" t="n">
        <f aca="false">E26/R26-1</f>
        <v>-0.0112188062711633</v>
      </c>
      <c r="T26" s="78" t="s">
        <v>451</v>
      </c>
    </row>
    <row r="28" customFormat="false" ht="15" hidden="false" customHeight="true" outlineLevel="0" collapsed="false">
      <c r="A28" s="52" t="s">
        <v>585</v>
      </c>
    </row>
    <row r="29" customFormat="false" ht="33.75" hidden="false" customHeight="true" outlineLevel="0" collapsed="false">
      <c r="A29" s="36" t="s">
        <v>567</v>
      </c>
      <c r="B29" s="36" t="s">
        <v>586</v>
      </c>
      <c r="C29" s="36" t="s">
        <v>587</v>
      </c>
      <c r="D29" s="36" t="s">
        <v>588</v>
      </c>
      <c r="E29" s="36" t="s">
        <v>589</v>
      </c>
      <c r="F29" s="36" t="s">
        <v>590</v>
      </c>
    </row>
    <row r="30" customFormat="false" ht="15" hidden="false" customHeight="true" outlineLevel="0" collapsed="false">
      <c r="A30" s="96" t="n">
        <v>86</v>
      </c>
      <c r="B30" s="45" t="n">
        <f aca="false">Q18</f>
        <v>-0.00162391397702544</v>
      </c>
      <c r="C30" s="45" t="n">
        <f aca="false">Q21</f>
        <v>0.00539177867982654</v>
      </c>
      <c r="D30" s="45" t="n">
        <f aca="false">Q24</f>
        <v>-0.00294185624997545</v>
      </c>
      <c r="E30" s="97" t="n">
        <f aca="false">(D30-B30)*100</f>
        <v>-0.131794227295001</v>
      </c>
      <c r="F30" s="97" t="n">
        <f aca="false">(C30-B30)*100</f>
        <v>0.701569265685198</v>
      </c>
    </row>
    <row r="31" customFormat="false" ht="15" hidden="false" customHeight="true" outlineLevel="0" collapsed="false">
      <c r="A31" s="96" t="n">
        <v>164</v>
      </c>
      <c r="B31" s="45" t="n">
        <f aca="false">Q19</f>
        <v>0.00187254252150315</v>
      </c>
      <c r="C31" s="45" t="n">
        <f aca="false">Q22</f>
        <v>0.0124861898443589</v>
      </c>
      <c r="D31" s="45" t="n">
        <f aca="false">Q25</f>
        <v>0.000213011722263179</v>
      </c>
      <c r="E31" s="97" t="n">
        <f aca="false">(D31-B31)*100</f>
        <v>-0.165953079923997</v>
      </c>
      <c r="F31" s="97" t="n">
        <f aca="false">(C31-B31)*100</f>
        <v>1.06136473228557</v>
      </c>
    </row>
    <row r="32" customFormat="false" ht="15" hidden="false" customHeight="true" outlineLevel="0" collapsed="false">
      <c r="A32" s="96" t="n">
        <v>411</v>
      </c>
      <c r="B32" s="45" t="n">
        <f aca="false">Q20</f>
        <v>0.000821417009064129</v>
      </c>
      <c r="C32" s="45" t="n">
        <f aca="false">Q23</f>
        <v>0.00589066440472985</v>
      </c>
      <c r="D32" s="45" t="n">
        <f aca="false">Q26</f>
        <v>-0.000553942257171425</v>
      </c>
      <c r="E32" s="97" t="n">
        <f aca="false">(D32-B32)*100</f>
        <v>-0.137535926623555</v>
      </c>
      <c r="F32" s="97" t="n">
        <f aca="false">(C32-B32)*100</f>
        <v>0.506924739566572</v>
      </c>
    </row>
    <row r="34" customFormat="false" ht="15" hidden="false" customHeight="true" outlineLevel="0" collapsed="false">
      <c r="A34" s="52" t="s">
        <v>591</v>
      </c>
    </row>
    <row r="35" customFormat="false" ht="24" hidden="false" customHeight="true" outlineLevel="0" collapsed="false">
      <c r="A35" s="36" t="s">
        <v>592</v>
      </c>
      <c r="B35" s="36" t="s">
        <v>593</v>
      </c>
    </row>
    <row r="36" customFormat="false" ht="15" hidden="false" customHeight="true" outlineLevel="0" collapsed="false">
      <c r="A36" s="49" t="n">
        <v>32</v>
      </c>
      <c r="B36" s="82" t="n">
        <v>1.1672580242157</v>
      </c>
    </row>
    <row r="37" customFormat="false" ht="15" hidden="false" customHeight="true" outlineLevel="0" collapsed="false">
      <c r="A37" s="49" t="n">
        <v>64</v>
      </c>
      <c r="B37" s="82" t="n">
        <v>1.25810194015503</v>
      </c>
    </row>
    <row r="38" customFormat="false" ht="15" hidden="false" customHeight="true" outlineLevel="0" collapsed="false">
      <c r="A38" s="49" t="n">
        <v>128</v>
      </c>
      <c r="B38" s="82" t="n">
        <v>1.31386923789978</v>
      </c>
    </row>
    <row r="39" customFormat="false" ht="15" hidden="false" customHeight="true" outlineLevel="0" collapsed="false">
      <c r="A39" s="49" t="n">
        <v>256</v>
      </c>
      <c r="B39" s="82" t="n">
        <v>1.35103631019592</v>
      </c>
    </row>
    <row r="40" customFormat="false" ht="15" hidden="false" customHeight="true" outlineLevel="0" collapsed="false">
      <c r="A40" s="49" t="n">
        <v>512</v>
      </c>
      <c r="B40" s="82" t="n">
        <v>1.37442946434021</v>
      </c>
    </row>
    <row r="41" customFormat="false" ht="15" hidden="false" customHeight="true" outlineLevel="0" collapsed="false">
      <c r="A41" s="53" t="s">
        <v>594</v>
      </c>
      <c r="B41" s="48" t="n">
        <f aca="false">MAX(B36:B40)/MIN(B36:B40)-1</f>
        <v>0.17748555660066</v>
      </c>
    </row>
    <row r="43" customFormat="false" ht="15" hidden="false" customHeight="true" outlineLevel="0" collapsed="false">
      <c r="A43" s="52" t="s">
        <v>595</v>
      </c>
    </row>
    <row r="44" customFormat="false" ht="45.75" hidden="false" customHeight="true" outlineLevel="0" collapsed="false">
      <c r="A44" s="36" t="s">
        <v>596</v>
      </c>
      <c r="B44" s="36" t="s">
        <v>597</v>
      </c>
      <c r="C44" s="36" t="s">
        <v>598</v>
      </c>
      <c r="D44" s="36" t="s">
        <v>599</v>
      </c>
      <c r="E44" s="36" t="s">
        <v>600</v>
      </c>
      <c r="F44" s="36" t="s">
        <v>601</v>
      </c>
      <c r="G44" s="36" t="s">
        <v>602</v>
      </c>
      <c r="H44" s="36" t="s">
        <v>603</v>
      </c>
    </row>
    <row r="45" customFormat="false" ht="15" hidden="false" customHeight="true" outlineLevel="0" collapsed="false">
      <c r="A45" s="41" t="s">
        <v>604</v>
      </c>
      <c r="B45" s="38" t="s">
        <v>618</v>
      </c>
      <c r="C45" s="37" t="s">
        <v>619</v>
      </c>
      <c r="D45" s="42" t="n">
        <v>991081.66809082</v>
      </c>
      <c r="E45" s="42" t="n">
        <v>982860.453369141</v>
      </c>
      <c r="F45" s="42" t="n">
        <v>991743.340454102</v>
      </c>
      <c r="G45" s="46" t="n">
        <f aca="false">(F45-D45)/(F45-E45)</f>
        <v>0.0744884356801397</v>
      </c>
      <c r="H45" s="45" t="n">
        <f aca="false">(F45-E45)/F45</f>
        <v>0.00895684066897161</v>
      </c>
    </row>
    <row r="46" customFormat="false" ht="23.25" hidden="false" customHeight="true" outlineLevel="0" collapsed="false">
      <c r="A46" s="41" t="s">
        <v>607</v>
      </c>
      <c r="B46" s="38" t="s">
        <v>620</v>
      </c>
      <c r="C46" s="37" t="s">
        <v>621</v>
      </c>
      <c r="D46" s="42" t="n">
        <v>988038.274291992</v>
      </c>
      <c r="E46" s="42" t="n">
        <v>982860.453369141</v>
      </c>
      <c r="F46" s="42" t="n">
        <v>991743.340454102</v>
      </c>
      <c r="G46" s="46" t="n">
        <f aca="false">(F46-D46)/(F46-E46)</f>
        <v>0.417101571445487</v>
      </c>
      <c r="H46" s="45" t="n">
        <f aca="false">(F46-E46)/F46</f>
        <v>0.00895684066897161</v>
      </c>
    </row>
    <row r="47" customFormat="false" ht="23.25" hidden="false" customHeight="true" outlineLevel="0" collapsed="false">
      <c r="A47" s="41" t="s">
        <v>610</v>
      </c>
      <c r="B47" s="38" t="s">
        <v>622</v>
      </c>
      <c r="C47" s="37" t="s">
        <v>621</v>
      </c>
      <c r="D47" s="42" t="n">
        <v>991521.822631836</v>
      </c>
      <c r="E47" s="42" t="n">
        <v>982860.453369141</v>
      </c>
      <c r="F47" s="42" t="n">
        <v>991743.340454102</v>
      </c>
      <c r="G47" s="46" t="n">
        <f aca="false">(F47-D47)/(F47-E47)</f>
        <v>0.0249375929410393</v>
      </c>
      <c r="H47" s="45" t="n">
        <f aca="false">(F47-E47)/F47</f>
        <v>0.00895684066897161</v>
      </c>
    </row>
    <row r="49" customFormat="false" ht="15" hidden="false" customHeight="true" outlineLevel="0" collapsed="false">
      <c r="A49" s="52" t="s">
        <v>613</v>
      </c>
    </row>
    <row r="50" customFormat="false" ht="39.75" hidden="false" customHeight="true" outlineLevel="0" collapsed="false">
      <c r="A50" s="36" t="s">
        <v>125</v>
      </c>
      <c r="B50" s="36" t="s">
        <v>98</v>
      </c>
      <c r="C50" s="36" t="s">
        <v>446</v>
      </c>
      <c r="D50" s="36" t="s">
        <v>570</v>
      </c>
      <c r="E50" s="36" t="s">
        <v>571</v>
      </c>
      <c r="F50" s="36" t="s">
        <v>614</v>
      </c>
      <c r="G50" s="36" t="s">
        <v>573</v>
      </c>
      <c r="H50" s="36" t="s">
        <v>208</v>
      </c>
      <c r="I50" s="36" t="s">
        <v>378</v>
      </c>
      <c r="J50" s="36" t="s">
        <v>382</v>
      </c>
      <c r="K50" s="36" t="s">
        <v>383</v>
      </c>
      <c r="L50" s="36" t="s">
        <v>384</v>
      </c>
      <c r="M50" s="36" t="s">
        <v>385</v>
      </c>
      <c r="N50" s="36" t="s">
        <v>386</v>
      </c>
    </row>
    <row r="51" customFormat="false" ht="15" hidden="false" customHeight="true" outlineLevel="0" collapsed="false">
      <c r="A51" s="41" t="s">
        <v>615</v>
      </c>
      <c r="B51" s="42" t="n">
        <v>279355</v>
      </c>
      <c r="C51" s="81" t="n">
        <f aca="false">62767104/$B$5</f>
        <v>147.390441839495</v>
      </c>
      <c r="D51" s="50" t="n">
        <f aca="false">$B$11*(LOG(C51,2)-LOG($G$12,2))*(LOG(C51,2)-LOG($G$13,2))/((LOG($G$11,2)-LOG($G$12,2))*(LOG($G$11,2)-LOG($G$13,2)))+$B$12*(LOG(C51,2)-LOG($G$11,2))*(LOG(C51,2)-LOG($G$13,2))/((LOG($G$12,2)-LOG($G$11,2))*(LOG($G$12,2)-LOG($G$13,2)))+$B$13*(LOG(C51,2)-LOG($G$11,2))*(LOG(C51,2)-LOG($G$12,2))/((LOG($G$13,2)-LOG($G$11,2))*(LOG($G$13,2)-LOG($G$12,2)))</f>
        <v>277567.437642033</v>
      </c>
      <c r="E51" s="45" t="n">
        <f aca="false">B51/D51-1</f>
        <v>0.0064401010909374</v>
      </c>
      <c r="F51" s="50" t="n">
        <f aca="false">$B$12+(C51-$G$12)/($G$13-$G$12)*($B$13-$B$12)</f>
        <v>280161.218280216</v>
      </c>
      <c r="G51" s="45" t="n">
        <f aca="false">B51/F51-1</f>
        <v>-0.00287769408330485</v>
      </c>
      <c r="H51" s="47" t="n">
        <v>43.1047236760001</v>
      </c>
      <c r="I51" s="42" t="n">
        <v>810</v>
      </c>
      <c r="J51" s="42" t="n">
        <v>0</v>
      </c>
      <c r="K51" s="42" t="n">
        <v>0</v>
      </c>
      <c r="L51" s="42" t="n">
        <v>2823</v>
      </c>
      <c r="M51" s="42" t="n">
        <v>252</v>
      </c>
      <c r="N51" s="42" t="n">
        <v>0</v>
      </c>
    </row>
    <row r="53" customFormat="false" ht="48" hidden="false" customHeight="true" outlineLevel="0" collapsed="false">
      <c r="A53" s="32" t="s">
        <v>623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</row>
  </sheetData>
  <mergeCells count="1">
    <mergeCell ref="A53:N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20"/>
    <col collapsed="false" customWidth="true" hidden="false" outlineLevel="0" max="10" min="10" style="1" width="14"/>
    <col collapsed="false" customWidth="true" hidden="false" outlineLevel="0" max="12" min="11" style="1" width="18"/>
  </cols>
  <sheetData>
    <row r="1" customFormat="false" ht="17.25" hidden="false" customHeight="true" outlineLevel="0" collapsed="false">
      <c r="A1" s="33" t="s">
        <v>624</v>
      </c>
    </row>
    <row r="2" customFormat="false" ht="15" hidden="false" customHeight="true" outlineLevel="0" collapsed="false">
      <c r="A2" s="34" t="s">
        <v>625</v>
      </c>
    </row>
    <row r="3" customFormat="false" ht="15" hidden="false" customHeight="true" outlineLevel="0" collapsed="false">
      <c r="A3" s="41" t="s">
        <v>238</v>
      </c>
      <c r="B3" s="42" t="n">
        <v>1000000</v>
      </c>
    </row>
    <row r="4" customFormat="false" ht="15" hidden="false" customHeight="true" outlineLevel="0" collapsed="false">
      <c r="A4" s="53" t="s">
        <v>626</v>
      </c>
      <c r="B4" s="55" t="n">
        <f aca="false">GD35_LoRA!B8</f>
        <v>3253104</v>
      </c>
    </row>
    <row r="5" customFormat="false" ht="15" hidden="false" customHeight="true" outlineLevel="0" collapsed="false">
      <c r="A5" s="53" t="s">
        <v>627</v>
      </c>
      <c r="B5" s="42" t="n">
        <v>6817985</v>
      </c>
    </row>
    <row r="7" customFormat="false" ht="57.75" hidden="false" customHeight="true" outlineLevel="0" collapsed="false">
      <c r="A7" s="36" t="s">
        <v>125</v>
      </c>
      <c r="B7" s="36" t="s">
        <v>98</v>
      </c>
      <c r="C7" s="36" t="s">
        <v>628</v>
      </c>
      <c r="D7" s="36" t="s">
        <v>208</v>
      </c>
      <c r="E7" s="36" t="s">
        <v>446</v>
      </c>
      <c r="F7" s="36" t="s">
        <v>629</v>
      </c>
      <c r="G7" s="36" t="s">
        <v>630</v>
      </c>
      <c r="H7" s="36" t="s">
        <v>631</v>
      </c>
      <c r="I7" s="36" t="s">
        <v>632</v>
      </c>
      <c r="J7" s="36" t="s">
        <v>633</v>
      </c>
      <c r="K7" s="36" t="s">
        <v>634</v>
      </c>
      <c r="L7" s="36" t="s">
        <v>635</v>
      </c>
    </row>
    <row r="8" customFormat="false" ht="15" hidden="false" customHeight="true" outlineLevel="0" collapsed="false">
      <c r="A8" s="41" t="s">
        <v>636</v>
      </c>
      <c r="B8" s="42" t="n">
        <v>213691</v>
      </c>
      <c r="C8" s="44" t="n">
        <f aca="false">$B$3/B8</f>
        <v>4.67965426714274</v>
      </c>
      <c r="D8" s="47" t="n">
        <v>26.010663499</v>
      </c>
      <c r="E8" s="98" t="n">
        <v>511.846205431988</v>
      </c>
      <c r="F8" s="37" t="s">
        <v>18</v>
      </c>
      <c r="G8" s="37" t="s">
        <v>18</v>
      </c>
      <c r="H8" s="37" t="s">
        <v>18</v>
      </c>
      <c r="I8" s="37" t="s">
        <v>18</v>
      </c>
      <c r="J8" s="37" t="s">
        <v>18</v>
      </c>
      <c r="K8" s="37" t="s">
        <v>18</v>
      </c>
      <c r="L8" s="37" t="s">
        <v>18</v>
      </c>
    </row>
    <row r="9" customFormat="false" ht="15" hidden="false" customHeight="true" outlineLevel="0" collapsed="false">
      <c r="A9" s="41" t="s">
        <v>637</v>
      </c>
      <c r="B9" s="42" t="n">
        <v>209447</v>
      </c>
      <c r="C9" s="44" t="n">
        <f aca="false">$B$3/B9</f>
        <v>4.77447755279379</v>
      </c>
      <c r="D9" s="47" t="n">
        <v>29.2631153980001</v>
      </c>
      <c r="E9" s="98" t="n">
        <v>511.846205431988</v>
      </c>
      <c r="F9" s="45" t="n">
        <f aca="false">B9/B8-1</f>
        <v>-0.0198604527097538</v>
      </c>
      <c r="G9" s="50" t="n">
        <f aca="false">B9+$B$4</f>
        <v>3462551</v>
      </c>
      <c r="H9" s="44" t="n">
        <f aca="false">$B$3/G9</f>
        <v>0.288804410389912</v>
      </c>
      <c r="I9" s="50" t="n">
        <f aca="false">B9+$B$5</f>
        <v>7027432</v>
      </c>
      <c r="J9" s="44" t="n">
        <f aca="false">$B$3/I9</f>
        <v>0.142299491478537</v>
      </c>
      <c r="K9" s="50" t="n">
        <f aca="false">(B8-B9)/($B$3/1000000)</f>
        <v>4244</v>
      </c>
      <c r="L9" s="50" t="n">
        <f aca="false">$B$4/K9</f>
        <v>766.518378887842</v>
      </c>
    </row>
    <row r="10" customFormat="false" ht="15" hidden="false" customHeight="true" outlineLevel="0" collapsed="false">
      <c r="A10" s="41" t="s">
        <v>638</v>
      </c>
      <c r="B10" s="42" t="n">
        <v>216534</v>
      </c>
      <c r="C10" s="44" t="n">
        <f aca="false">$B$3/B10</f>
        <v>4.61821238235104</v>
      </c>
      <c r="D10" s="47" t="n">
        <v>174.262446354</v>
      </c>
      <c r="E10" s="98" t="n">
        <v>410.785291159048</v>
      </c>
      <c r="F10" s="37" t="s">
        <v>18</v>
      </c>
      <c r="G10" s="37" t="s">
        <v>18</v>
      </c>
      <c r="H10" s="37" t="s">
        <v>18</v>
      </c>
      <c r="I10" s="37" t="s">
        <v>18</v>
      </c>
      <c r="J10" s="37" t="s">
        <v>18</v>
      </c>
      <c r="K10" s="37" t="s">
        <v>18</v>
      </c>
      <c r="L10" s="37" t="s">
        <v>18</v>
      </c>
    </row>
    <row r="11" customFormat="false" ht="15" hidden="false" customHeight="true" outlineLevel="0" collapsed="false">
      <c r="A11" s="41" t="s">
        <v>639</v>
      </c>
      <c r="B11" s="42" t="n">
        <v>212371</v>
      </c>
      <c r="C11" s="44" t="n">
        <f aca="false">$B$3/B11</f>
        <v>4.70874083561315</v>
      </c>
      <c r="D11" s="47" t="n">
        <v>174.537921706</v>
      </c>
      <c r="E11" s="98" t="n">
        <v>413.417681904549</v>
      </c>
      <c r="F11" s="45" t="n">
        <f aca="false">B11/B10-1</f>
        <v>-0.0192256181477274</v>
      </c>
      <c r="G11" s="50" t="n">
        <f aca="false">B11+$B$4</f>
        <v>3465475</v>
      </c>
      <c r="H11" s="44" t="n">
        <f aca="false">$B$3/G11</f>
        <v>0.288560731212893</v>
      </c>
      <c r="I11" s="50" t="n">
        <f aca="false">B11+$B$5</f>
        <v>7030356</v>
      </c>
      <c r="J11" s="44" t="n">
        <f aca="false">$B$3/I11</f>
        <v>0.1422403076032</v>
      </c>
      <c r="K11" s="50" t="n">
        <f aca="false">(B10-B11)/($B$3/1000000)</f>
        <v>4163</v>
      </c>
      <c r="L11" s="50" t="n">
        <f aca="false">$B$4/K11</f>
        <v>781.432620706221</v>
      </c>
    </row>
    <row r="13" customFormat="false" ht="15" hidden="false" customHeight="true" outlineLevel="0" collapsed="false">
      <c r="A13" s="52" t="s">
        <v>640</v>
      </c>
    </row>
    <row r="14" customFormat="false" ht="15" hidden="false" customHeight="true" outlineLevel="0" collapsed="false">
      <c r="A14" s="53" t="s">
        <v>641</v>
      </c>
      <c r="B14" s="45" t="n">
        <f aca="false">B10/B8-1</f>
        <v>0.0133042570814867</v>
      </c>
    </row>
    <row r="15" customFormat="false" ht="15" hidden="false" customHeight="true" outlineLevel="0" collapsed="false">
      <c r="A15" s="53" t="s">
        <v>642</v>
      </c>
      <c r="B15" s="45" t="n">
        <f aca="false">B11/B9-1</f>
        <v>0.013960572364369</v>
      </c>
    </row>
    <row r="16" customFormat="false" ht="15" hidden="false" customHeight="true" outlineLevel="0" collapsed="false">
      <c r="A16" s="53" t="s">
        <v>643</v>
      </c>
      <c r="B16" s="48" t="n">
        <f aca="false">E10/E8-1</f>
        <v>-0.197443906393028</v>
      </c>
    </row>
    <row r="17" customFormat="false" ht="15" hidden="false" customHeight="true" outlineLevel="0" collapsed="false">
      <c r="A17" s="53" t="s">
        <v>644</v>
      </c>
      <c r="B17" s="48" t="n">
        <f aca="false">E11/E9-1</f>
        <v>-0.192300973383924</v>
      </c>
    </row>
    <row r="18" customFormat="false" ht="23.25" hidden="false" customHeight="true" outlineLevel="0" collapsed="false">
      <c r="A18" s="53" t="s">
        <v>645</v>
      </c>
      <c r="B18" s="94" t="n">
        <f aca="false">GD35_LoRA!H15</f>
        <v>0.0455676275879517</v>
      </c>
    </row>
    <row r="19" customFormat="false" ht="23.25" hidden="false" customHeight="true" outlineLevel="0" collapsed="false">
      <c r="A19" s="53" t="s">
        <v>646</v>
      </c>
      <c r="B19" s="45" t="n">
        <f aca="false">-F9</f>
        <v>0.0198604527097538</v>
      </c>
    </row>
    <row r="20" customFormat="false" ht="15" hidden="false" customHeight="true" outlineLevel="0" collapsed="false">
      <c r="A20" s="53" t="s">
        <v>647</v>
      </c>
      <c r="B20" s="48" t="n">
        <f aca="false">D9/D8-1</f>
        <v>0.125043019341861</v>
      </c>
    </row>
    <row r="22" customFormat="false" ht="43.5" hidden="false" customHeight="true" outlineLevel="0" collapsed="false">
      <c r="A22" s="32" t="s">
        <v>648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</row>
    <row r="23" customFormat="false" ht="43.5" hidden="false" customHeight="true" outlineLevel="0" collapsed="false">
      <c r="A23" s="32" t="s">
        <v>649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4" customFormat="false" ht="30" hidden="false" customHeight="true" outlineLevel="0" collapsed="false">
      <c r="A24" s="32" t="s">
        <v>650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</row>
  </sheetData>
  <mergeCells count="3">
    <mergeCell ref="A22:L22"/>
    <mergeCell ref="A23:L23"/>
    <mergeCell ref="A24:L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F31" activeCellId="0" sqref="F31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5"/>
    <col collapsed="false" customWidth="true" hidden="false" outlineLevel="0" max="4" min="4" style="1" width="18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26"/>
    <col collapsed="false" customWidth="true" hidden="false" outlineLevel="0" max="11" min="11" style="1" width="50"/>
  </cols>
  <sheetData>
    <row r="1" customFormat="false" ht="18" hidden="false" customHeight="true" outlineLevel="0" collapsed="false">
      <c r="A1" s="33" t="s">
        <v>651</v>
      </c>
    </row>
    <row r="2" customFormat="false" ht="15" hidden="false" customHeight="true" outlineLevel="0" collapsed="false">
      <c r="A2" s="34" t="s">
        <v>652</v>
      </c>
    </row>
    <row r="3" customFormat="false" ht="15" hidden="false" customHeight="true" outlineLevel="0" collapsed="false">
      <c r="A3" s="41" t="s">
        <v>238</v>
      </c>
      <c r="B3" s="55" t="n">
        <f aca="false">GD2_Baseline!B3</f>
        <v>1000000</v>
      </c>
    </row>
    <row r="4" customFormat="false" ht="15" hidden="false" customHeight="true" outlineLevel="0" collapsed="false">
      <c r="A4" s="41"/>
      <c r="B4" s="34"/>
    </row>
    <row r="6" customFormat="false" ht="43.5" hidden="false" customHeight="true" outlineLevel="0" collapsed="false">
      <c r="A6" s="36" t="s">
        <v>444</v>
      </c>
      <c r="B6" s="36" t="s">
        <v>98</v>
      </c>
      <c r="C6" s="36" t="s">
        <v>100</v>
      </c>
      <c r="D6" s="36" t="s">
        <v>653</v>
      </c>
      <c r="E6" s="36" t="s">
        <v>208</v>
      </c>
      <c r="F6" s="36" t="s">
        <v>209</v>
      </c>
      <c r="G6" s="36" t="s">
        <v>654</v>
      </c>
      <c r="H6" s="36" t="s">
        <v>210</v>
      </c>
      <c r="I6" s="36" t="s">
        <v>655</v>
      </c>
      <c r="J6" s="36" t="s">
        <v>656</v>
      </c>
      <c r="K6" s="36" t="s">
        <v>97</v>
      </c>
    </row>
    <row r="7" customFormat="false" ht="15" hidden="false" customHeight="true" outlineLevel="0" collapsed="false">
      <c r="A7" s="41" t="s">
        <v>128</v>
      </c>
      <c r="B7" s="42" t="n">
        <v>300576</v>
      </c>
      <c r="C7" s="44" t="n">
        <f aca="false">IF(ISNUMBER(B7),$B$3/B7,"")</f>
        <v>3.32694559778559</v>
      </c>
      <c r="D7" s="45" t="n">
        <f aca="false">IF(AND(ISNUMBER(B7),ISNUMBER($B$11)),B7/$B$11-1,"")</f>
        <v>0.406591761000697</v>
      </c>
      <c r="E7" s="47" t="n">
        <v>27.9891557690003</v>
      </c>
      <c r="F7" s="51" t="s">
        <v>129</v>
      </c>
      <c r="G7" s="48" t="n">
        <f aca="false">IF(AND(ISNUMBER(E7),ISNUMBER($E$11)),1-E7/$E$11,"")</f>
        <v>-0.106753946687564</v>
      </c>
      <c r="H7" s="99"/>
      <c r="I7" s="78" t="s">
        <v>657</v>
      </c>
      <c r="J7" s="37" t="s">
        <v>658</v>
      </c>
      <c r="K7" s="100"/>
    </row>
    <row r="8" customFormat="false" ht="15" hidden="false" customHeight="true" outlineLevel="0" collapsed="false">
      <c r="A8" s="41" t="s">
        <v>131</v>
      </c>
      <c r="B8" s="42" t="n">
        <v>271704</v>
      </c>
      <c r="C8" s="44" t="n">
        <f aca="false">IF(ISNUMBER(B8),$B$3/B8,"")</f>
        <v>3.68047581191296</v>
      </c>
      <c r="D8" s="45" t="n">
        <f aca="false">IF(AND(ISNUMBER(B8),ISNUMBER($B$11)),B8/$B$11-1,"")</f>
        <v>0.271480782999752</v>
      </c>
      <c r="E8" s="47" t="n">
        <v>28.532199752</v>
      </c>
      <c r="F8" s="51" t="s">
        <v>129</v>
      </c>
      <c r="G8" s="48" t="n">
        <f aca="false">IF(AND(ISNUMBER(E8),ISNUMBER($E$11)),1-E8/$E$11,"")</f>
        <v>-0.12822712281228</v>
      </c>
      <c r="H8" s="99"/>
      <c r="I8" s="78" t="s">
        <v>657</v>
      </c>
      <c r="J8" s="37" t="s">
        <v>659</v>
      </c>
      <c r="K8" s="100"/>
    </row>
    <row r="9" customFormat="false" ht="15" hidden="false" customHeight="true" outlineLevel="0" collapsed="false">
      <c r="A9" s="41" t="s">
        <v>132</v>
      </c>
      <c r="B9" s="42" t="n">
        <v>246976</v>
      </c>
      <c r="C9" s="44" t="n">
        <f aca="false">IF(ISNUMBER(B9),$B$3/B9,"")</f>
        <v>4.04897641876134</v>
      </c>
      <c r="D9" s="45" t="n">
        <f aca="false">IF(AND(ISNUMBER(B9),ISNUMBER($B$11)),B9/$B$11-1,"")</f>
        <v>0.155762292281846</v>
      </c>
      <c r="E9" s="47" t="n">
        <v>26.4945085250001</v>
      </c>
      <c r="F9" s="51" t="s">
        <v>129</v>
      </c>
      <c r="G9" s="48" t="n">
        <f aca="false">IF(AND(ISNUMBER(E9),ISNUMBER($E$11)),1-E9/$E$11,"")</f>
        <v>-0.0476522449479555</v>
      </c>
      <c r="H9" s="99"/>
      <c r="I9" s="78" t="s">
        <v>657</v>
      </c>
      <c r="J9" s="37" t="s">
        <v>660</v>
      </c>
      <c r="K9" s="100"/>
    </row>
    <row r="10" customFormat="false" ht="15" hidden="false" customHeight="true" outlineLevel="0" collapsed="false">
      <c r="A10" s="41" t="s">
        <v>134</v>
      </c>
      <c r="B10" s="42" t="n">
        <v>228006</v>
      </c>
      <c r="C10" s="44" t="n">
        <f aca="false">IF(ISNUMBER(B10),$B$3/B10,"")</f>
        <v>4.38584949518872</v>
      </c>
      <c r="D10" s="45" t="n">
        <f aca="false">IF(AND(ISNUMBER(B10),ISNUMBER($B$11)),B10/$B$11-1,"")</f>
        <v>0.0669892508341483</v>
      </c>
      <c r="E10" s="47" t="n">
        <v>27.0123556079998</v>
      </c>
      <c r="F10" s="51" t="s">
        <v>129</v>
      </c>
      <c r="G10" s="48" t="n">
        <f aca="false">IF(AND(ISNUMBER(E10),ISNUMBER($E$11)),1-E10/$E$11,"")</f>
        <v>-0.0681290791769227</v>
      </c>
      <c r="H10" s="99"/>
      <c r="I10" s="78" t="s">
        <v>657</v>
      </c>
      <c r="J10" s="37" t="s">
        <v>661</v>
      </c>
      <c r="K10" s="100"/>
    </row>
    <row r="11" customFormat="false" ht="15" hidden="false" customHeight="true" outlineLevel="0" collapsed="false">
      <c r="A11" s="41" t="s">
        <v>94</v>
      </c>
      <c r="B11" s="42" t="n">
        <v>213691</v>
      </c>
      <c r="C11" s="44" t="n">
        <f aca="false">IF(ISNUMBER(B11),$B$3/B11,"")</f>
        <v>4.67965426714274</v>
      </c>
      <c r="D11" s="45" t="n">
        <f aca="false">IF(AND(ISNUMBER(B11),ISNUMBER($B$11)),B11/$B$11-1,"")</f>
        <v>0</v>
      </c>
      <c r="E11" s="47" t="n">
        <v>25.289411303</v>
      </c>
      <c r="F11" s="57" t="n">
        <v>13516.677884265</v>
      </c>
      <c r="G11" s="48" t="n">
        <f aca="false">IF(AND(ISNUMBER(E11),ISNUMBER($E$11)),1-E11/$E$11,"")</f>
        <v>0</v>
      </c>
      <c r="H11" s="57" t="n">
        <v>768.537109375</v>
      </c>
      <c r="I11" s="101" t="s">
        <v>662</v>
      </c>
      <c r="J11" s="37" t="s">
        <v>663</v>
      </c>
      <c r="K11" s="38" t="s">
        <v>664</v>
      </c>
    </row>
    <row r="12" customFormat="false" ht="15" hidden="false" customHeight="true" outlineLevel="0" collapsed="false">
      <c r="A12" s="41" t="s">
        <v>665</v>
      </c>
      <c r="B12" s="102" t="n">
        <v>239411</v>
      </c>
      <c r="C12" s="44" t="n">
        <f aca="false">IF(ISNUMBER(B12),$B$3/B12,"")</f>
        <v>4.17691751840976</v>
      </c>
      <c r="D12" s="45" t="n">
        <f aca="false">IF(AND(ISNUMBER(B12),ISNUMBER($B$11)),B12/$B$11-1,"")</f>
        <v>0.120360707750911</v>
      </c>
      <c r="E12" s="57" t="n">
        <v>34.197037021</v>
      </c>
      <c r="F12" s="99"/>
      <c r="G12" s="48" t="n">
        <f aca="false">IF(AND(ISNUMBER(E12),ISNUMBER($E$11)),1-E12/$E$11,"")</f>
        <v>-0.3522274841148</v>
      </c>
      <c r="H12" s="99"/>
      <c r="I12" s="101" t="s">
        <v>666</v>
      </c>
      <c r="J12" s="103" t="s">
        <v>667</v>
      </c>
      <c r="K12" s="38" t="s">
        <v>668</v>
      </c>
    </row>
    <row r="13" customFormat="false" ht="48" hidden="false" customHeight="true" outlineLevel="0" collapsed="false">
      <c r="A13" s="41" t="s">
        <v>95</v>
      </c>
      <c r="B13" s="42" t="n">
        <v>216534</v>
      </c>
      <c r="C13" s="44" t="n">
        <f aca="false">IF(ISNUMBER(B13),$B$3/B13,"")</f>
        <v>4.61821238235104</v>
      </c>
      <c r="D13" s="45" t="n">
        <f aca="false">IF(AND(ISNUMBER(B13),ISNUMBER($B$11)),B13/$B$11-1,"")</f>
        <v>0.0133042570814867</v>
      </c>
      <c r="E13" s="47" t="n">
        <v>183.493111651</v>
      </c>
      <c r="F13" s="57" t="n">
        <v>10833.343960682</v>
      </c>
      <c r="G13" s="48" t="n">
        <f aca="false">IF(AND(ISNUMBER(E13),ISNUMBER($E$11)),1-E13/$E$11,"")</f>
        <v>-6.25572886820158</v>
      </c>
      <c r="H13" s="57" t="n">
        <v>768.537109375</v>
      </c>
      <c r="I13" s="76" t="s">
        <v>662</v>
      </c>
      <c r="J13" s="37" t="s">
        <v>669</v>
      </c>
      <c r="K13" s="38" t="s">
        <v>670</v>
      </c>
    </row>
    <row r="14" customFormat="false" ht="15" hidden="false" customHeight="true" outlineLevel="0" collapsed="false">
      <c r="A14" s="41" t="s">
        <v>671</v>
      </c>
      <c r="B14" s="99"/>
      <c r="C14" s="44" t="str">
        <f aca="false">IF(ISNUMBER(B14),$B$3/B14,"")</f>
        <v/>
      </c>
      <c r="D14" s="45" t="str">
        <f aca="false">IF(AND(ISNUMBER(B14),ISNUMBER($B$11)),B14/$B$11-1,"")</f>
        <v/>
      </c>
      <c r="E14" s="99"/>
      <c r="F14" s="99"/>
      <c r="G14" s="48" t="str">
        <f aca="false">IF(AND(ISNUMBER(E14),ISNUMBER($E$11)),1-E14/$E$11,"")</f>
        <v/>
      </c>
      <c r="H14" s="99"/>
      <c r="I14" s="100"/>
      <c r="J14" s="100"/>
      <c r="K14" s="100"/>
    </row>
    <row r="15" customFormat="false" ht="48" hidden="false" customHeight="true" outlineLevel="0" collapsed="false">
      <c r="A15" s="41" t="s">
        <v>672</v>
      </c>
      <c r="B15" s="42" t="n">
        <v>238128</v>
      </c>
      <c r="C15" s="44" t="n">
        <f aca="false">IF(ISNUMBER(B15),$B$3/B15,"")</f>
        <v>4.19942215951085</v>
      </c>
      <c r="D15" s="45" t="n">
        <f aca="false">IF(AND(ISNUMBER(B15),ISNUMBER($B$11)),B15/$B$11-1,"")</f>
        <v>0.114356711326167</v>
      </c>
      <c r="E15" s="47" t="n">
        <v>163.270025566</v>
      </c>
      <c r="F15" s="99"/>
      <c r="G15" s="48" t="n">
        <f aca="false">IF(AND(ISNUMBER(E15),ISNUMBER($E$11)),1-E15/$E$11,"")</f>
        <v>-5.45606272165901</v>
      </c>
      <c r="H15" s="99"/>
      <c r="I15" s="78" t="s">
        <v>657</v>
      </c>
      <c r="J15" s="37" t="s">
        <v>673</v>
      </c>
      <c r="K15" s="38" t="s">
        <v>674</v>
      </c>
    </row>
    <row r="16" customFormat="false" ht="48" hidden="false" customHeight="true" outlineLevel="0" collapsed="false">
      <c r="A16" s="41" t="s">
        <v>675</v>
      </c>
      <c r="B16" s="42" t="n">
        <v>258127</v>
      </c>
      <c r="C16" s="44" t="n">
        <f aca="false">IF(ISNUMBER(B16),$B$3/B16,"")</f>
        <v>3.87406199274001</v>
      </c>
      <c r="D16" s="45" t="n">
        <f aca="false">IF(AND(ISNUMBER(B16),ISNUMBER($B$11)),B16/$B$11-1,"")</f>
        <v>0.207945117014755</v>
      </c>
      <c r="E16" s="47" t="n">
        <v>163.876370966</v>
      </c>
      <c r="F16" s="99"/>
      <c r="G16" s="48" t="n">
        <f aca="false">IF(AND(ISNUMBER(E16),ISNUMBER($E$11)),1-E16/$E$11,"")</f>
        <v>-5.48003897767918</v>
      </c>
      <c r="H16" s="99"/>
      <c r="I16" s="78" t="s">
        <v>657</v>
      </c>
      <c r="J16" s="37" t="s">
        <v>676</v>
      </c>
      <c r="K16" s="38" t="s">
        <v>677</v>
      </c>
    </row>
    <row r="17" customFormat="false" ht="48" hidden="false" customHeight="true" outlineLevel="0" collapsed="false">
      <c r="A17" s="41" t="s">
        <v>678</v>
      </c>
      <c r="B17" s="42" t="n">
        <v>288012</v>
      </c>
      <c r="C17" s="44" t="n">
        <f aca="false">IF(ISNUMBER(B17),$B$3/B17,"")</f>
        <v>3.47207755232421</v>
      </c>
      <c r="D17" s="45" t="n">
        <f aca="false">IF(AND(ISNUMBER(B17),ISNUMBER($B$11)),B17/$B$11-1,"")</f>
        <v>0.347796584788316</v>
      </c>
      <c r="E17" s="47" t="n">
        <v>164.636669157</v>
      </c>
      <c r="F17" s="99"/>
      <c r="G17" s="48" t="n">
        <f aca="false">IF(AND(ISNUMBER(E17),ISNUMBER($E$11)),1-E17/$E$11,"")</f>
        <v>-5.51010287208505</v>
      </c>
      <c r="H17" s="99"/>
      <c r="I17" s="78" t="s">
        <v>657</v>
      </c>
      <c r="J17" s="37" t="s">
        <v>679</v>
      </c>
      <c r="K17" s="38" t="s">
        <v>677</v>
      </c>
    </row>
    <row r="19" customFormat="false" ht="15" hidden="false" customHeight="true" outlineLevel="0" collapsed="false">
      <c r="A19" s="104"/>
      <c r="B19" s="105"/>
      <c r="C19" s="106"/>
      <c r="D19" s="107"/>
      <c r="E19" s="108"/>
      <c r="G19" s="109"/>
    </row>
    <row r="20" customFormat="false" ht="15" hidden="false" customHeight="true" outlineLevel="0" collapsed="false">
      <c r="A20" s="104"/>
      <c r="B20" s="105"/>
      <c r="C20" s="106"/>
      <c r="D20" s="107"/>
      <c r="E20" s="108"/>
      <c r="G20" s="109"/>
    </row>
    <row r="22" customFormat="false" ht="15.75" hidden="false" customHeight="true" outlineLevel="0" collapsed="false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</row>
    <row r="23" customFormat="false" ht="30" hidden="false" customHeight="true" outlineLevel="0" collapsed="false">
      <c r="A23" s="32" t="s">
        <v>680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customFormat="false" ht="15" hidden="false" customHeight="true" outlineLevel="0" collapsed="false">
      <c r="A24" s="52" t="s">
        <v>681</v>
      </c>
    </row>
    <row r="25" customFormat="false" ht="43.5" hidden="false" customHeight="true" outlineLevel="0" collapsed="false">
      <c r="A25" s="36" t="s">
        <v>682</v>
      </c>
      <c r="B25" s="36" t="s">
        <v>125</v>
      </c>
      <c r="C25" s="36" t="s">
        <v>98</v>
      </c>
      <c r="D25" s="36" t="s">
        <v>208</v>
      </c>
      <c r="E25" s="36" t="s">
        <v>683</v>
      </c>
    </row>
    <row r="26" customFormat="false" ht="63.75" hidden="false" customHeight="true" outlineLevel="0" collapsed="false">
      <c r="A26" s="41" t="s">
        <v>684</v>
      </c>
      <c r="B26" s="38" t="s">
        <v>685</v>
      </c>
      <c r="C26" s="38" t="s">
        <v>686</v>
      </c>
      <c r="D26" s="38" t="s">
        <v>687</v>
      </c>
      <c r="E26" s="38" t="s">
        <v>688</v>
      </c>
    </row>
    <row r="27" customFormat="false" ht="63.75" hidden="false" customHeight="true" outlineLevel="0" collapsed="false">
      <c r="A27" s="41" t="s">
        <v>689</v>
      </c>
      <c r="B27" s="38" t="s">
        <v>690</v>
      </c>
      <c r="C27" s="38" t="s">
        <v>691</v>
      </c>
      <c r="D27" s="38" t="s">
        <v>692</v>
      </c>
      <c r="E27" s="38" t="s">
        <v>693</v>
      </c>
    </row>
    <row r="28" customFormat="false" ht="63.75" hidden="false" customHeight="true" outlineLevel="0" collapsed="false">
      <c r="A28" s="41" t="s">
        <v>689</v>
      </c>
      <c r="B28" s="38" t="s">
        <v>694</v>
      </c>
      <c r="C28" s="38" t="s">
        <v>695</v>
      </c>
      <c r="D28" s="38" t="s">
        <v>696</v>
      </c>
      <c r="E28" s="38" t="s">
        <v>697</v>
      </c>
    </row>
    <row r="29" customFormat="false" ht="63.75" hidden="false" customHeight="true" outlineLevel="0" collapsed="false">
      <c r="A29" s="41" t="s">
        <v>698</v>
      </c>
      <c r="B29" s="38" t="s">
        <v>699</v>
      </c>
      <c r="C29" s="38" t="s">
        <v>700</v>
      </c>
      <c r="D29" s="38" t="s">
        <v>701</v>
      </c>
      <c r="E29" s="38" t="s">
        <v>702</v>
      </c>
    </row>
    <row r="30" customFormat="false" ht="63.75" hidden="false" customHeight="true" outlineLevel="0" collapsed="false">
      <c r="A30" s="41" t="s">
        <v>703</v>
      </c>
      <c r="B30" s="38" t="s">
        <v>704</v>
      </c>
      <c r="C30" s="38" t="s">
        <v>705</v>
      </c>
      <c r="D30" s="38" t="s">
        <v>18</v>
      </c>
      <c r="E30" s="38" t="s">
        <v>706</v>
      </c>
    </row>
  </sheetData>
  <mergeCells count="2">
    <mergeCell ref="A22:K22"/>
    <mergeCell ref="A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2026-10-03T00:50:32Z</dcterms:created>
  <dc:creator>openpyxl</dc:creator>
  <dc:description/>
  <dc:language>en-US</dc:language>
  <cp:lastModifiedBy>thanhthao</cp:lastModifiedBy>
  <dcterms:modified xsi:type="dcterms:W3CDTF">2026-10-09T11:44:06Z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