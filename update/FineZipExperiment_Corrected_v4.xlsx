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mTat_SuaLoi" sheetId="1" state="visible" r:id="rId3"/>
    <sheet name="GD2_Baseline" sheetId="2" state="visible" r:id="rId4"/>
    <sheet name="GD3_FixedContext" sheetId="3" state="visible" r:id="rId5"/>
    <sheet name="GD35_LoRA" sheetId="4" state="visible" r:id="rId6"/>
    <sheet name="CanChayLai" sheetId="5" state="visible" r:id="rId7"/>
    <sheet name="GD4_KetQua" sheetId="6" state="visible" r:id="rId8"/>
    <sheet name="GD5_SoSanh" sheetId="7" state="visible" r:id="rId9"/>
    <sheet name="GD5_MauBa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<sst xmlns="http://schemas.openxmlformats.org/spreadsheetml/2006/main" count="624" uniqueCount="419">
  <si>
    <t xml:space="preserve">FineZip — bảng số liệu đã sửa &amp; danh sách lỗi</t>
  </si>
  <si>
    <t xml:space="preserve">Mọi con số gốc lấy từ FineZipExperiment.xlsx và 5 notebook đã tải lên; công thức tính lại nằm ở các sheet GD*.</t>
  </si>
  <si>
    <t xml:space="preserve">Có bắt buộc chạy lại không?</t>
  </si>
  <si>
    <t xml:space="preserve">KHÔNG để sửa bảng: các lỗi 1–6 chỉ là tính toán/trình bày lại từ số đã có. Cần bổ sung (không bắt buộc cho phần sửa): đo kích thước adapter (không cần GPU), thời gian giải nén + GPU peak của FineZip (vài chục phút, đề bài có yêu cầu). Chi tiết ở sheet CanChayLai.</t>
  </si>
  <si>
    <t xml:space="preserve">#</t>
  </si>
  <si>
    <t xml:space="preserve">Vấn đề trong bản gốc</t>
  </si>
  <si>
    <t xml:space="preserve">Bản gốc ghi</t>
  </si>
  <si>
    <t xml:space="preserve">Sau khi sửa</t>
  </si>
  <si>
    <t xml:space="preserve">Chạy lại?</t>
  </si>
  <si>
    <t xml:space="preserve">Cột 'Compressed size ≈ B' của LLMZip-lite sai ở ctx 32–256 (chia bit cho 10 thay vì 8)</t>
  </si>
  <si>
    <t xml:space="preserve">149,487 / 134,948 / 125,485 / 116,416 B</t>
  </si>
  <si>
    <t xml:space="preserve">≈ 186,860 / 168,685 / 156,856 / 145,521 B (GD3_FixedContext, mục B). Cột ratio trước đây đã đúng.</t>
  </si>
  <si>
    <t xml:space="preserve">Không</t>
  </si>
  <si>
    <t xml:space="preserve">Hai quy ước 'ratio' trộn lẫn (gốc/nén và nén/gốc)</t>
  </si>
  <si>
    <t xml:space="preserve">0.18686 cạnh 5.352×</t>
  </si>
  <si>
    <t xml:space="preserve">Chuẩn hoá: Ratio = gốc/nén (×); Compressed % = nén/gốc (cùng quy ước paper).</t>
  </si>
  <si>
    <t xml:space="preserve">Bảng LoRA so sánh sai cặp (khác pipeline)</t>
  </si>
  <si>
    <t xml:space="preserve">GPT-2 128: 4.154× vs LoRA 6.657×</t>
  </si>
  <si>
    <t xml:space="preserve">Cùng AC: 6.375× → 6.657× (ctx128), 7.028× → 7.363× (ctx512): giảm kích thước 4.2% / 4.6% (GD35_LoRA, mục 1).</t>
  </si>
  <si>
    <t xml:space="preserve">Chưa tính kích thước adapter vào file nén</t>
  </si>
  <si>
    <t xml:space="preserve">3,253,104 bytes (≈3.10 MiB)</t>
  </si>
  <si>
    <t xml:space="preserve">Adapter 811.008 tham số ≈ 1.6 MB (fp16) – 3.2 MB (fp32) ≫ file nén 136 KB → ở 1 MB LoRA không có lợi ròng; điểm hoà vốn ≳ 250 MB (GD35_LoRA, mục 2).</t>
  </si>
  <si>
    <t xml:space="preserve">Chỉ cần đo adapter thật (ls) done</t>
  </si>
  <si>
    <t xml:space="preserve">Thời gian so sánh khác batch (LLMZip-lite &amp; FineZip ctx32 batch 1; FineZip GĐ3 batch 64)</t>
  </si>
  <si>
    <t xml:space="preserve">FineZip ctx32: 2740 s (GĐ2) vs 61.6 s (GĐ3)</t>
  </si>
  <si>
    <t xml:space="preserve">Thêm cột Batch; hệ số 45× chỉ do batch (GD2_Baseline!B19). Không kết luận 'FineZip nhanh hơn LLMZip-lite N lần'.</t>
  </si>
  <si>
    <t xml:space="preserve">Không (tuỳ chọn: cùng batch)</t>
  </si>
  <si>
    <t xml:space="preserve">Hai lần đo thời gian enc FineZip khác nhau</t>
  </si>
  <si>
    <t xml:space="preserve">61.6 / 67.2 / 83.0 / 114.3 / 178.8 vs 60.8 / 69.1 / 88.8 / 124.8 / 199.0</t>
  </si>
  <si>
    <t xml:space="preserve">Giữ cả hai, dùng số từ file .txt, hiển thị độ lệch 3–11%.</t>
  </si>
  <si>
    <t xml:space="preserve">Tuỳ chọn</t>
  </si>
  <si>
    <t xml:space="preserve">Mô tả pipeline sai ('FineZip của nhóm = context cố định + arithmetic coding')</t>
  </si>
  <si>
    <t xml:space="preserve">Sheet 'Đánh giá từng giai đoạn'</t>
  </si>
  <si>
    <t xml:space="preserve">eval_clean.py (FineZip) = rank + bzip2, chunk, batch. eval_ac.py ('LLMZip-lite') = AC + cửa sổ trượt. 'Context' hai bên khác nghĩa.</t>
  </si>
  <si>
    <t xml:space="preserve">'Training time/memory của LoRA chưa có'</t>
  </si>
  <si>
    <t xml:space="preserve">⚠ chưa có</t>
  </si>
  <si>
    <t xml:space="preserve">Đã có trong notebook: 48.6 s, peak 2,749 MiB allocated / 3,024 MiB reserved (GD35_LoRA, mục 4).</t>
  </si>
  <si>
    <t xml:space="preserve">Thiếu thời gian giải nén &amp; GPU peak theo từng ctx (FineZip)</t>
  </si>
  <si>
    <t xml:space="preserve">Để trống / '...'</t>
  </si>
  <si>
    <t xml:space="preserve">Đánh dấu vàng 'CHƯA ĐO'. LLMZip-lite: dec ctx 32 đã đo, còn lại ghi ước tính ≈ enc.</t>
  </si>
  <si>
    <t xml:space="preserve">Nên (FineZip)</t>
  </si>
  <si>
    <t xml:space="preserve">Hai số GPU memory mâu thuẫn</t>
  </si>
  <si>
    <t xml:space="preserve">991 vs 1962 MiB</t>
  </si>
  <si>
    <t xml:space="preserve">Khác phạm vi đo (file 1 MB lúc nén vs test 315 B ở GĐ1); ghi chú, chưa kết luận.</t>
  </si>
  <si>
    <t xml:space="preserve">Nên đo lại cùng điều kiện</t>
  </si>
  <si>
    <t xml:space="preserve">Giai đoạn 2 — Baseline trên 1 MB enwik8 (đã sửa)</t>
  </si>
  <si>
    <t xml:space="preserve">Chữ xanh = số lấy từ notebook/Excel cũ (input) · đen = công thức · xanh lá = liên kết sheet khác · vàng đỏ = chưa đo</t>
  </si>
  <si>
    <t xml:space="preserve">Original (bytes)</t>
  </si>
  <si>
    <t xml:space="preserve">Ký tự (chars, UTF-8 giải mã)</t>
  </si>
  <si>
    <t xml:space="preserve">Token GPT-2</t>
  </si>
  <si>
    <t xml:space="preserve">Method</t>
  </si>
  <si>
    <t xml:space="preserve">Model</t>
  </si>
  <si>
    <t xml:space="preserve">Pipeline</t>
  </si>
  <si>
    <t xml:space="preserve">Context</t>
  </si>
  <si>
    <t xml:space="preserve">Batch</t>
  </si>
  <si>
    <t xml:space="preserve">AC bits (nếu có)</t>
  </si>
  <si>
    <t xml:space="preserve">Compressed (B)</t>
  </si>
  <si>
    <t xml:space="preserve">Ratio (gốc/nén)</t>
  </si>
  <si>
    <t xml:space="preserve">Compressed % (nén/gốc)</t>
  </si>
  <si>
    <t xml:space="preserve">Bits/char</t>
  </si>
  <si>
    <t xml:space="preserve">Enc (s)</t>
  </si>
  <si>
    <t xml:space="preserve">Dec (s)</t>
  </si>
  <si>
    <t xml:space="preserve">GPU peak (MiB)</t>
  </si>
  <si>
    <t xml:space="preserve">Lossless</t>
  </si>
  <si>
    <t xml:space="preserve">Tiết kiệm so với bzip2</t>
  </si>
  <si>
    <t xml:space="preserve">Ghi chú</t>
  </si>
  <si>
    <t xml:space="preserve">gzip</t>
  </si>
  <si>
    <t xml:space="preserve">-</t>
  </si>
  <si>
    <t xml:space="preserve">DEFLATE</t>
  </si>
  <si>
    <t xml:space="preserve">✓</t>
  </si>
  <si>
    <t xml:space="preserve">GĐ2</t>
  </si>
  <si>
    <t xml:space="preserve">bzip2</t>
  </si>
  <si>
    <t xml:space="preserve">BWT</t>
  </si>
  <si>
    <t xml:space="preserve">LLMZip-lite</t>
  </si>
  <si>
    <t xml:space="preserve">GPT-2</t>
  </si>
  <si>
    <t xml:space="preserve">AC + cửa sổ trượt (eval_ac.py)</t>
  </si>
  <si>
    <t xml:space="preserve">Lần chạy GĐ3 đo lại enc = 2938.72 s. Bytes = ROUNDUP(bits/8).</t>
  </si>
  <si>
    <t xml:space="preserve">FineZip</t>
  </si>
  <si>
    <t xml:space="preserve">rank + bzip2, chunk (eval_clean.py)</t>
  </si>
  <si>
    <t xml:space="preserve">batch 1</t>
  </si>
  <si>
    <t xml:space="preserve">CHƯA ĐO</t>
  </si>
  <si>
    <t xml:space="preserve">batch 64 (số của GĐ3). Enc lấy từ dòng cuối file .txt.</t>
  </si>
  <si>
    <t xml:space="preserve">Hệ số suy ra từ bảng trên</t>
  </si>
  <si>
    <t xml:space="preserve">LLMZip-lite so với gzip (×)</t>
  </si>
  <si>
    <t xml:space="preserve">LLMZip-lite so với bzip2 (×)</t>
  </si>
  <si>
    <t xml:space="preserve">FineZip (bs=1) so với bzip2 (×)</t>
  </si>
  <si>
    <t xml:space="preserve">Tăng tốc do batch: FineZip ctx32, bs 1 → bs 64 (×)</t>
  </si>
  <si>
    <t xml:space="preserve">Chênh kích thước FineZip bs1 − bs64 (B)</t>
  </si>
  <si>
    <t xml:space="preserve">⚠ Thời gian giữa các dòng KHÔNG so được thẳng: LLMZip-lite &amp; FineZip(bs=1) chạy tuần tự (batch 1); FineZip(bs=64) chạy song song. Phần lớn chênh lệch tốc độ đến từ batch (ô B19), không phải từ thuật toán.</t>
  </si>
  <si>
    <t xml:space="preserve">⚠ 'Context 32' ở hai pipeline khác nghĩa: LLMZip-lite = mọi token thấy 32 token trước (cửa sổ trượt); FineZip = chunk dài 32, token thứ i chỉ thấy i−1 token trong chunk.</t>
  </si>
  <si>
    <t xml:space="preserve">⚠ GPU peak: 993–996 MiB (GĐ2) khác 1962 MiB (GĐ1, file test 315 B). Hai lần đo khác phạm vi → chưa kết luận; cần reset_peak_memory_stats() ngay trước mỗi lần nén.</t>
  </si>
  <si>
    <t xml:space="preserve">Giai đoạn 3 — Fixed Context 32…512 (đã sửa)</t>
  </si>
  <si>
    <t xml:space="preserve">Cùng 1 MB enwik8, GPT-2, Kaggle T4</t>
  </si>
  <si>
    <t xml:space="preserve">Original (B)</t>
  </si>
  <si>
    <t xml:space="preserve">Chars</t>
  </si>
  <si>
    <t xml:space="preserve">A. FineZip (rank + bzip2, chunk, batch 64)</t>
  </si>
  <si>
    <t xml:space="preserve">Context (độ dài chunk)</t>
  </si>
  <si>
    <t xml:space="preserve">Compressed %</t>
  </si>
  <si>
    <t xml:space="preserve">Δ ratio so với ctx 32</t>
  </si>
  <si>
    <t xml:space="preserve">Enc (s) — từ file .txt</t>
  </si>
  <si>
    <t xml:space="preserve">Thời gian ×  so với ctx 32</t>
  </si>
  <si>
    <t xml:space="preserve">Enc (s) — bảng thô Excel cũ</t>
  </si>
  <si>
    <t xml:space="preserve">Lệch giữa 2 lần đo</t>
  </si>
  <si>
    <t xml:space="preserve">Bit tiết kiệm / giây thêm (so mức trước)</t>
  </si>
  <si>
    <t xml:space="preserve">Cột L = số bit tiết kiệm được cho mỗi giây tính thêm khi tăng context lên mức này. Đây chính là thang đo cho tham số λ của DPPolicy (adaptive_context_finezip.py): λ &gt; giá trị ở hàng nào thì chính sách sẽ KHÔNG chọn lên mức đó.</t>
  </si>
  <si>
    <t xml:space="preserve">Hai lần đo thời gian (cột F và H) khác nhau 3–11%: chưa rõ nguyên nhân (khác phiên Kaggle / cách đo). Báo cáo dùng cột F (truy được tới notebook), ghi rõ sai số.</t>
  </si>
  <si>
    <t xml:space="preserve">B. LLMZip-lite (arithmetic coding, cửa sổ trượt, batch 1)</t>
  </si>
  <si>
    <t xml:space="preserve">Context (cửa sổ trượt)</t>
  </si>
  <si>
    <t xml:space="preserve">AC bits</t>
  </si>
  <si>
    <t xml:space="preserve">Compressed (B) = ROUNDUP(bits/8)</t>
  </si>
  <si>
    <t xml:space="preserve">Thời gian × so với ctx 32</t>
  </si>
  <si>
    <t xml:space="preserve">Bit tiết kiệm / giây thêm</t>
  </si>
  <si>
    <t xml:space="preserve">Dec ctx 32 = số đo ở GĐ2 (2851 s ≈ 0.97 × enc). Các ctx còn lại chưa đo; có thể ghi 'ước tính ≈ enc' (dec/enc = 0.97–1.01 ở các lần đo GĐ2) thay vì chạy lại ~4 giờ cho ctx 512.</t>
  </si>
  <si>
    <t xml:space="preserve">C. Đặt cạnh nhau (tham khảo — KHÔNG phải cuộc thi trực tiếp, xem ghi chú)</t>
  </si>
  <si>
    <t xml:space="preserve">Ratio FineZip</t>
  </si>
  <si>
    <t xml:space="preserve">Ratio LLMZip-lite</t>
  </si>
  <si>
    <t xml:space="preserve">LLMZip-lite / FineZip (ratio)</t>
  </si>
  <si>
    <t xml:space="preserve">Enc FineZip (s)</t>
  </si>
  <si>
    <t xml:space="preserve">Enc LLMZip-lite (s)</t>
  </si>
  <si>
    <t xml:space="preserve">LLMZip-lite / FineZip (thời gian)</t>
  </si>
  <si>
    <t xml:space="preserve">Không kết luận 'FineZip kém LLMZip-lite' hay 'nhanh hơn N lần' từ bảng này: khác lược đồ mã hoá (rank+bzip2 vs AC), khác ngữ nghĩa context, khác batch (64 vs 1). Muốn so công bằng cần cùng batch và cùng pipeline mã hoá.</t>
  </si>
  <si>
    <t xml:space="preserve">Giai đoạn 3.5 — LoRA / online memorization (đã sửa)</t>
  </si>
  <si>
    <t xml:space="preserve">So sánh đúng cặp: CÙNG pipeline arithmetic coding, cùng cửa sổ trượt, chỉ khác có/không LoRA</t>
  </si>
  <si>
    <t xml:space="preserve">Số tham số LoRA (notebook: trainable params)</t>
  </si>
  <si>
    <t xml:space="preserve">Byte / tham số (fp16)</t>
  </si>
  <si>
    <t xml:space="preserve">Byte / tham số (fp32)</t>
  </si>
  <si>
    <t xml:space="preserve">Kích thước adapter ĐO THẬT (B) — điền sau khi chạy ls -l</t>
  </si>
  <si>
    <t xml:space="preserve">Adapter dùng để tính (đo thật nếu có, nếu không = fp16 ước tính)</t>
  </si>
  <si>
    <t xml:space="preserve">Adapter fp32 ước tính (B)</t>
  </si>
  <si>
    <t xml:space="preserve">1. LoRA vs không LoRA — cùng pipeline AC</t>
  </si>
  <si>
    <t xml:space="preserve">AC bits (không LoRA)</t>
  </si>
  <si>
    <t xml:space="preserve">AC bits (LoRA)</t>
  </si>
  <si>
    <t xml:space="preserve">Bytes (không LoRA)</t>
  </si>
  <si>
    <t xml:space="preserve">Bytes (LoRA)</t>
  </si>
  <si>
    <t xml:space="preserve">Ratio (không LoRA)</t>
  </si>
  <si>
    <t xml:space="preserve">Ratio (LoRA)</t>
  </si>
  <si>
    <t xml:space="preserve">Giảm kích thước nhờ LoRA</t>
  </si>
  <si>
    <t xml:space="preserve">Bits/char (không LoRA)</t>
  </si>
  <si>
    <t xml:space="preserve">Bits/char (LoRA)</t>
  </si>
  <si>
    <t xml:space="preserve">Enc (s) không LoRA</t>
  </si>
  <si>
    <t xml:space="preserve">Enc (s) LoRA</t>
  </si>
  <si>
    <t xml:space="preserve">Thời gian tăng</t>
  </si>
  <si>
    <t xml:space="preserve">Bảng gốc đặt FineZip-rank 4.154× cạnh LoRA-AC 6.657× (khác pipeline) nên trông như LoRA cải thiện ~60%. Đúng cặp: LoRA chỉ giảm kích thước khoảng 4–5% (cột H).</t>
  </si>
  <si>
    <t xml:space="preserve">LoRA chạy chậm hơn (cột M) vì adapter chưa merge: có thể thử model.merge_and_unload() trước khi nén để bỏ chi phí suy luận thêm. Hai lần đo có thể khác phiên Kaggle → coi là xu hướng.</t>
  </si>
  <si>
    <t xml:space="preserve">2. Tính cả chi phí lưu adapter (phải gửi kèm file nén để giải nén được)</t>
  </si>
  <si>
    <t xml:space="preserve">File nén LoRA (B)</t>
  </si>
  <si>
    <t xml:space="preserve">+ adapter (B)</t>
  </si>
  <si>
    <t xml:space="preserve">Ratio ròng (gốc / (nén + adapter))</t>
  </si>
  <si>
    <t xml:space="preserve">bzip2 (B)</t>
  </si>
  <si>
    <t xml:space="preserve">Ròng so với bzip2</t>
  </si>
  <si>
    <t xml:space="preserve">Tiết kiệm / 1 MB dữ liệu so với không LoRA (B)</t>
  </si>
  <si>
    <t xml:space="preserve">Điểm hoà vốn: dữ liệu gốc cần ≥ (MB)</t>
  </si>
  <si>
    <t xml:space="preserve">Giả định (nên ghi trong báo cáo): adapter có kích thước cố định; mức tiết kiệm tăng tuyến tính theo dung lượng dữ liệu. Thực tế adapter cố định 'nhớ' được ít hơn trên dữ liệu lớn → điểm hoà vốn thật có thể XA hơn con số này. Ở 1 MB, LoRA không có lợi ròng.</t>
  </si>
  <si>
    <t xml:space="preserve">3. Loss / perplexity (hai phép đo khác tập, KHÔNG so với nhau)</t>
  </si>
  <si>
    <t xml:space="preserve">Phép đo</t>
  </si>
  <si>
    <t xml:space="preserve">Tập đánh giá</t>
  </si>
  <si>
    <t xml:space="preserve">Loss trước</t>
  </si>
  <si>
    <t xml:space="preserve">Loss sau</t>
  </si>
  <si>
    <t xml:space="preserve">Δ loss</t>
  </si>
  <si>
    <t xml:space="preserve">PPL trước</t>
  </si>
  <si>
    <t xml:space="preserve">PPL sau</t>
  </si>
  <si>
    <t xml:space="preserve">Δ PPL</t>
  </si>
  <si>
    <t xml:space="preserve">Trong script huấn luyện</t>
  </si>
  <si>
    <t xml:space="preserve">559 khối × 512 = 286.208 token (chính là dữ liệu huấn luyện)</t>
  </si>
  <si>
    <t xml:space="preserve">In-sample → đúng ý 'memorization'.</t>
  </si>
  <si>
    <t xml:space="preserve">Đánh giá nhanh (ctx 512)</t>
  </si>
  <si>
    <t xml:space="preserve">16.352 token đầu của file</t>
  </si>
  <si>
    <t xml:space="preserve">Một lát nhỏ; không phải toàn bộ 286.273 token.</t>
  </si>
  <si>
    <t xml:space="preserve">4. Cấu hình &amp; chi phí huấn luyện LoRA (ĐÃ CÓ trong notebook versionn3_5_1, ô 115 — Excel cũ ghi 'chưa có')</t>
  </si>
  <si>
    <t xml:space="preserve">Mô hình / target</t>
  </si>
  <si>
    <t xml:space="preserve">GPT-2 · c_attn, c_proj</t>
  </si>
  <si>
    <t xml:space="preserve">r / alpha / dropout</t>
  </si>
  <si>
    <t xml:space="preserve">8 / 16 / 0.05</t>
  </si>
  <si>
    <t xml:space="preserve">Epoch · batch · grad accum · lr</t>
  </si>
  <si>
    <t xml:space="preserve">1 · 2 · 4 · 2e-4</t>
  </si>
  <si>
    <t xml:space="preserve">Thời gian huấn luyện (s)</t>
  </si>
  <si>
    <t xml:space="preserve">Peak GPU allocated (MiB)</t>
  </si>
  <si>
    <t xml:space="preserve">Peak GPU reserved (MiB)</t>
  </si>
  <si>
    <t xml:space="preserve">Tham số huấn luyện / tổng</t>
  </si>
  <si>
    <t xml:space="preserve">811,008 / 125,250,816 (0.6475%)</t>
  </si>
  <si>
    <t xml:space="preserve">Ngắn gọn: KHÔNG cần chạy lại để sửa các bảng. Chỉ có vài việc bổ sung nhỏ (cột 'Mức độ').</t>
  </si>
  <si>
    <t xml:space="preserve">Việc</t>
  </si>
  <si>
    <t xml:space="preserve">Mức độ</t>
  </si>
  <si>
    <t xml:space="preserve">Vì sao</t>
  </si>
  <si>
    <t xml:space="preserve">Chi phí ước tính</t>
  </si>
  <si>
    <t xml:space="preserve">Cách làm</t>
  </si>
  <si>
    <t xml:space="preserve">Sửa bytes/ratio LLMZip-lite, chuẩn hoá ratio, cặp so sánh LoRA, cộng adapter</t>
  </si>
  <si>
    <t xml:space="preserve">Không cần chạy lại</t>
  </si>
  <si>
    <t xml:space="preserve">Chỉ là tính lại từ số đã có (đã làm trong file này).</t>
  </si>
  <si>
    <t xml:space="preserve">0</t>
  </si>
  <si>
    <t xml:space="preserve">—</t>
  </si>
  <si>
    <t xml:space="preserve">Đo kích thước adapter thật</t>
  </si>
  <si>
    <t xml:space="preserve">ĐÃ XONG — adapter = 3,253,104 B (điền ở GD35_LoRA!B8)</t>
  </si>
  <si>
    <t xml:space="preserve">Hiện chỉ ước tính 1.6–3.2 MB. Số thật làm bảng 'hoà vốn' chính xác.</t>
  </si>
  <si>
    <t xml:space="preserve">&lt; 1 phút</t>
  </si>
  <si>
    <t xml:space="preserve">!ls -l /kaggle/working/finezip_experiment/lora_gpt2_1mb  → điền vào GD35_LoRA!B8</t>
  </si>
  <si>
    <t xml:space="preserve">FineZip: thời gian GIẢI NÉN và GPU peak cho 5 context (bs 64)</t>
  </si>
  <si>
    <t xml:space="preserve">Đã đo cho Adaptive λ=1000 (dec + GPU peak). FineZip fixed vẫn CHƯA đo</t>
  </si>
  <si>
    <t xml:space="preserve">Đang thiếu; decode tự hồi quy có thể nặng hơn encode, và DPPolicy cần mô hình thời gian đúng.</t>
  </si>
  <si>
    <t xml:space="preserve">Chưa biết chính xác (chưa từng đo decode ở bs 64); ước tính vài chục phút</t>
  </si>
  <si>
    <t xml:space="preserve">Gọi unzip/decompress có bọc time.perf_counter(); reset_peak_memory_stats() trước mỗi lần. Gộp luôn việc chốt lại thời gian enc (dòng dưới).</t>
  </si>
  <si>
    <t xml:space="preserve">Chốt lại thời gian enc FineZip (2 lần đo lệch 3–11%)</t>
  </si>
  <si>
    <t xml:space="preserve">Không đổi kết luận; có thể chỉ ghi sai số.</t>
  </si>
  <si>
    <t xml:space="preserve">~10 phút nếu gộp với việc trên</t>
  </si>
  <si>
    <t xml:space="preserve">Chạy lại 5 ctx 1 lần, lấy trung bình.</t>
  </si>
  <si>
    <t xml:space="preserve">LLMZip-lite: dec time cho ctx 64–512</t>
  </si>
  <si>
    <t xml:space="preserve">Không nên chạy</t>
  </si>
  <si>
    <t xml:space="preserve">Chạy ctx 512 mất ~4 giờ; dec ≈ enc ở các lần đo (0.97–1.01).</t>
  </si>
  <si>
    <t xml:space="preserve">~8 giờ</t>
  </si>
  <si>
    <t xml:space="preserve">Ghi 'ước tính ≈ enc', nói rõ chỉ đo thật ở ctx 32.</t>
  </si>
  <si>
    <t xml:space="preserve">So sánh thời gian công bằng cùng batch</t>
  </si>
  <si>
    <t xml:space="preserve">Tuỳ chọn, nên có</t>
  </si>
  <si>
    <t xml:space="preserve">Hiện batch 1 vs 64 làm chênh ~45× chỉ do batch.</t>
  </si>
  <si>
    <t xml:space="preserve">vài phút/ctx</t>
  </si>
  <si>
    <t xml:space="preserve">eval_ac.py --batch_size 64 (nếu hỗ trợ như README mô tả); ghi rõ kích thước file có thể tăng nhẹ do nhiều luồng AC.</t>
  </si>
  <si>
    <t xml:space="preserve">LoRA cho pipeline FineZip thật (rank + bzip2)</t>
  </si>
  <si>
    <t xml:space="preserve">Nên làm</t>
  </si>
  <si>
    <t xml:space="preserve">Hiện LoRA mới chạy với AC; 'FineZip' trong paper là rank+bzip2+LoRA.</t>
  </si>
  <si>
    <t xml:space="preserve">Repo có nhánh finetuned_models trong memory_eval(); nạp PeftModel rồi chạy ctx 128/512.</t>
  </si>
  <si>
    <t xml:space="preserve">Dữ liệu thứ hai / lát khác của enwik8</t>
  </si>
  <si>
    <t xml:space="preserve">Bắt buộc cho GĐ5</t>
  </si>
  <si>
    <t xml:space="preserve">Adaptive chỉ có ý nghĩa khi văn bản không đồng nhất; 1 lát 1 MB chưa đủ kết luận.</t>
  </si>
  <si>
    <t xml:space="preserve">Ghép wiki + code + bảng số, hoặc lát 5–10 MB.</t>
  </si>
  <si>
    <t xml:space="preserve">GĐ4–5: Adaptive Context, Fixed vs Adaptive, ablation</t>
  </si>
  <si>
    <t xml:space="preserve">GĐ4 XONG (λ=1000 lossless đầy đủ). GĐ5 chưa làm</t>
  </si>
  <si>
    <t xml:space="preserve">Đây là đóng góp riêng.</t>
  </si>
  <si>
    <t xml:space="preserve">Prototype trên Kaggle, bản cuối trên 4090</t>
  </si>
  <si>
    <t xml:space="preserve">Xem adaptive_context_finezip.py và sheet GD5_MauBang.</t>
  </si>
  <si>
    <t xml:space="preserve">Giai đoạn 4 — Adaptive Context (DP trên cây chunk) · 1 MB enwik8 · GPT-2 · Kaggle T4</t>
  </si>
  <si>
    <t xml:space="preserve">Nguồn: adaptive_results_v3_final.json và các lần chạy trước. Xanh dương = số đo; đen = công thức; xanh lá = liên kết sheet.</t>
  </si>
  <si>
    <t xml:space="preserve">Token (GPT-2)</t>
  </si>
  <si>
    <t xml:space="preserve">L →</t>
  </si>
  <si>
    <t xml:space="preserve">A. Kết quả cuối (codec v3, không escape, batch plan lưu trong header)</t>
  </si>
  <si>
    <t xml:space="preserve">Cấu hình</t>
  </si>
  <si>
    <t xml:space="preserve">Codec</t>
  </si>
  <si>
    <t xml:space="preserve">Header (B)</t>
  </si>
  <si>
    <t xml:space="preserve">Enc tổng (s)</t>
  </si>
  <si>
    <t xml:space="preserve">GPU peak dec (MiB)</t>
  </si>
  <si>
    <t xml:space="preserve">Kiểm tra lossless</t>
  </si>
  <si>
    <t xml:space="preserve">n32</t>
  </si>
  <si>
    <t xml:space="preserve">n64</t>
  </si>
  <si>
    <t xml:space="preserve">n128</t>
  </si>
  <si>
    <t xml:space="preserve">n256</t>
  </si>
  <si>
    <t xml:space="preserve">n512</t>
  </si>
  <si>
    <t xml:space="preserve">Σ n·L²</t>
  </si>
  <si>
    <t xml:space="preserve">L̄ theo token</t>
  </si>
  <si>
    <t xml:space="preserve">Dec ước tính — thấp (s)</t>
  </si>
  <si>
    <t xml:space="preserve">Dec ước tính — cao (s)</t>
  </si>
  <si>
    <t xml:space="preserve">λ=1000</t>
  </si>
  <si>
    <t xml:space="preserve">v3</t>
  </si>
  <si>
    <t xml:space="preserve">ĐÚNG ✓ (decode đầy đủ)</t>
  </si>
  <si>
    <t xml:space="preserve">Cấu hình cuối của GĐ4.</t>
  </si>
  <si>
    <t xml:space="preserve">λ=5000</t>
  </si>
  <si>
    <t xml:space="preserve">quick_check OK (3 nhóm/mức L)</t>
  </si>
  <si>
    <t xml:space="preserve">Bản v1 cùng layout đã giải nén đúng đầy đủ (4.605,5 s).</t>
  </si>
  <si>
    <t xml:space="preserve">λ=12000</t>
  </si>
  <si>
    <t xml:space="preserve">λ=40000</t>
  </si>
  <si>
    <t xml:space="preserve">Enc tổng = chấm điểm 5 mức L cho DP + 1 lượt tính rank (đo bằng perf_counter). Gần như hằng theo λ nên KHÔNG dùng để so tốc độ với Fixed; cần tách 'phân tích' và 'mã hoá'. Cột Q–R (xám nghiêng) chỉ là ước tính thô theo mô hình c·Σn·L² với c lấy từ khoảng min–max của các lần giải nén đúng ở mục B.</t>
  </si>
  <si>
    <t xml:space="preserve">B. Nhật ký MỌI lần giải nén đầy đủ</t>
  </si>
  <si>
    <t xml:space="preserve">Run</t>
  </si>
  <si>
    <t xml:space="preserve">Kết quả</t>
  </si>
  <si>
    <t xml:space="preserve">Dec / Σn·L² (×1e-5 s)</t>
  </si>
  <si>
    <t xml:space="preserve">v1 (không escape)</t>
  </si>
  <si>
    <t xml:space="preserve">SAI ✗</t>
  </si>
  <si>
    <t xml:space="preserve">Rank lệch theo nhóm batch; blob không hợp lệ.</t>
  </si>
  <si>
    <t xml:space="preserve">v2 + escape, eps=0.20</t>
  </si>
  <si>
    <t xml:space="preserve">ĐÚNG ✓</t>
  </si>
  <si>
    <t xml:space="preserve">44,2% token bị escape (+27% kích thước).</t>
  </si>
  <si>
    <t xml:space="preserve">v2 + escape, eps=0.152</t>
  </si>
  <si>
    <t xml:space="preserve">41,6% escape.</t>
  </si>
  <si>
    <t xml:space="preserve">v3, phiên Kaggle 1</t>
  </si>
  <si>
    <t xml:space="preserve">Cùng kích thước blob 216.534 B.</t>
  </si>
  <si>
    <t xml:space="preserve">v3, phiên Kaggle 2 (cuối)</t>
  </si>
  <si>
    <t xml:space="preserve">Chậm hơn 26% cùng blob; nguyên nhân CHƯA xác định (nghi GPU/phiên khác).</t>
  </si>
  <si>
    <t xml:space="preserve">Biến động dec λ=1000 giữa hai phiên v3</t>
  </si>
  <si>
    <t xml:space="preserve">Biến động GPU peak giữa hai phiên v3 (MiB)</t>
  </si>
  <si>
    <t xml:space="preserve">Lần đầu mình nói thời gian giải nén 'ổn định ±1,2%' — đúng trong MỘT phiên (9.415–9.523 s) nhưng phiên sau chậm hơn 26% với cùng blob. Báo cáo nên ghi khoảng giá trị và nêu rõ chưa kiểm soát GPU.</t>
  </si>
  <si>
    <t xml:space="preserve">c thấp = MIN (các lần ĐÚNG)</t>
  </si>
  <si>
    <t xml:space="preserve">c cao = MAX (các lần ĐÚNG)</t>
  </si>
  <si>
    <t xml:space="preserve">C. Escape (thử nghiệm đã loại bỏ): chi phí so với codec v3 không escape</t>
  </si>
  <si>
    <t xml:space="preserve">eps</t>
  </si>
  <si>
    <t xml:space="preserve">Escape</t>
  </si>
  <si>
    <t xml:space="preserve">% token</t>
  </si>
  <si>
    <t xml:space="preserve">Byte phần escape</t>
  </si>
  <si>
    <t xml:space="preserve">Bit / escape</t>
  </si>
  <si>
    <t xml:space="preserve">Phụ phí so với v3 (B)</t>
  </si>
  <si>
    <t xml:space="preserve">Phụ phí (%)</t>
  </si>
  <si>
    <t xml:space="preserve">v2 eps=0.20</t>
  </si>
  <si>
    <t xml:space="preserve">v2 eps=0.152</t>
  </si>
  <si>
    <t xml:space="preserve">Kết luận: nhiễu logit giữa các batch ~0,02 → eps phải ≥ 0,15 → ~40% token bị escape (≈15,6 bit/escape, đắt gấp ~2,6 lần rank bình thường). Escape chỉ đáng dùng nếu cần giải nén trên MÁY KHÁC; cùng máy thì giữ nguyên kế hoạch batch (v3) là đủ.</t>
  </si>
  <si>
    <t xml:space="preserve">⚠ MỤC D CŨ ĐÃ BỊ GỠ: nó so Adaptive (codec v3) với Fixed của GĐ3 (codec khác, nhỏ hơn ~2,6%) nên cho kết luận SAI CHIỀU ('Adaptive kém Fixed 1,5%'). Phép so đúng, cùng codec v3, nằm ở sheet GD5_SoSanh.</t>
  </si>
  <si>
    <t xml:space="preserve">Giai đoạn 5 — Fixed vs Adaptive CÙNG codec v3, cùng chi phí giải nén (GPT-2 · 1 MB enwik8 · Kaggle T4)</t>
  </si>
  <si>
    <t xml:space="preserve">Nguồn: version4_2.ipynb (cells 7–14). Chi phí giải nén mô hình hoá là c·L² mỗi chunk ⇒ cả file ∝ Σn·L²; L̄ = Σn·L² / Σn·L là độ dài chunk 'tương đương' (Fixed-L có L̄ = L).</t>
  </si>
  <si>
    <t xml:space="preserve">Dec λ=1000, phiên 2 (s)</t>
  </si>
  <si>
    <t xml:space="preserve">Dec λ=1000, phiên 1 (s)</t>
  </si>
  <si>
    <t xml:space="preserve">Σ n·L² của λ=1000</t>
  </si>
  <si>
    <t xml:space="preserve">c chậm (s / đơn vị Σn·L²)</t>
  </si>
  <si>
    <t xml:space="preserve">c nhanh (phiên 1)</t>
  </si>
  <si>
    <t xml:space="preserve">Σ n·L (token đã đệm)</t>
  </si>
  <si>
    <t xml:space="preserve">A. Fixed (codec v3)</t>
  </si>
  <si>
    <t xml:space="preserve">Policy</t>
  </si>
  <si>
    <t xml:space="preserve">Mục tiêu / codec</t>
  </si>
  <si>
    <t xml:space="preserve">L̄</t>
  </si>
  <si>
    <t xml:space="preserve">Dec ước tính, c chậm (s)</t>
  </si>
  <si>
    <t xml:space="preserve">Dec ước tính, c nhanh (s)</t>
  </si>
  <si>
    <t xml:space="preserve">quick_check</t>
  </si>
  <si>
    <t xml:space="preserve">Fixed-32</t>
  </si>
  <si>
    <t xml:space="preserve">FixedPolicy</t>
  </si>
  <si>
    <t xml:space="preserve">OK (mẫu)</t>
  </si>
  <si>
    <t xml:space="preserve">Fixed-64</t>
  </si>
  <si>
    <t xml:space="preserve">Fixed-128</t>
  </si>
  <si>
    <t xml:space="preserve">Fixed-256</t>
  </si>
  <si>
    <t xml:space="preserve">Fixed-512</t>
  </si>
  <si>
    <t xml:space="preserve">B. Adaptive-DP (codec v3). 'DP-bits' = mục tiêu cũ (bit AC + λ·thời gian nén); 'DP-decode' = bit AC + λ·c·L²</t>
  </si>
  <si>
    <t xml:space="preserve">Adaptive λ=1000</t>
  </si>
  <si>
    <t xml:space="preserve">DP-bits</t>
  </si>
  <si>
    <t xml:space="preserve">ĐÚNG ✓ (đầy đủ)</t>
  </si>
  <si>
    <t xml:space="preserve">Dec đo thật: 12.000,9 s (phiên 2); 9.523 s (phiên 1).</t>
  </si>
  <si>
    <t xml:space="preserve">Adaptive λ=5000</t>
  </si>
  <si>
    <t xml:space="preserve">Adaptive λ=12000</t>
  </si>
  <si>
    <t xml:space="preserve">Adaptive λ=40000</t>
  </si>
  <si>
    <t xml:space="preserve">Adaptive λ=100</t>
  </si>
  <si>
    <t xml:space="preserve">DP-decode</t>
  </si>
  <si>
    <t xml:space="preserve">Cùng vùng L̄ với DP-bits λ=12000.</t>
  </si>
  <si>
    <t xml:space="preserve">Adaptive λ=300</t>
  </si>
  <si>
    <t xml:space="preserve">≈ Fixed-32.</t>
  </si>
  <si>
    <t xml:space="preserve">Adaptive λ=3000</t>
  </si>
  <si>
    <t xml:space="preserve">Suy biến thành Fixed-32.</t>
  </si>
  <si>
    <t xml:space="preserve">Adaptive λ=10000</t>
  </si>
  <si>
    <t xml:space="preserve">Cột I–J (xám nghiêng) chỉ là ước tính theo mô hình c·Σn·L²; c dao động 8,1–10,2 (×1e-5 s) giữa các phiên. CẦN đo t_dec(L) thật trong cùng phiên (xem bước tiếp theo).</t>
  </si>
  <si>
    <t xml:space="preserve">C. Ở CÙNG L̄ (cùng chi phí giải nén theo mô hình): Adaptive nhỏ hơn Fixed bao nhiêu?</t>
  </si>
  <si>
    <t xml:space="preserve">Adaptive</t>
  </si>
  <si>
    <t xml:space="preserve">Fixed tại L̄ — chia sẻ thời gian (tuyến tính theo L̄)</t>
  </si>
  <si>
    <t xml:space="preserve">Δ%</t>
  </si>
  <si>
    <t xml:space="preserve">Fixed tại L̄ — nội suy log₂ (dây cung)</t>
  </si>
  <si>
    <t xml:space="preserve">Fixed tại L̄ — đường cong bậc 2 (ước lượng tốt nhất)</t>
  </si>
  <si>
    <t xml:space="preserve">L tương đương KÍCH THƯỚC (dây cung)</t>
  </si>
  <si>
    <t xml:space="preserve">Tiết kiệm giải nén (dây cung)</t>
  </si>
  <si>
    <t xml:space="preserve">L tương đương KÍCH THƯỚC (chia sẻ thời gian)</t>
  </si>
  <si>
    <t xml:space="preserve">Tiết kiệm giải nén (chia sẻ thời gian)</t>
  </si>
  <si>
    <t xml:space="preserve">λ=1000 DP-bits</t>
  </si>
  <si>
    <t xml:space="preserve">λ=5000 DP-bits</t>
  </si>
  <si>
    <t xml:space="preserve">λ=12000 DP-bits</t>
  </si>
  <si>
    <t xml:space="preserve">λ=40000 DP-bits</t>
  </si>
  <si>
    <t xml:space="preserve">λ=100 DP-decode</t>
  </si>
  <si>
    <t xml:space="preserve">λ=300 DP-decode</t>
  </si>
  <si>
    <t xml:space="preserve">λ=1000 DP-decode</t>
  </si>
  <si>
    <t xml:space="preserve">≈ Fixed-32 (suy biến)</t>
  </si>
  <si>
    <t xml:space="preserve">Cách đọc: Δ% &lt; 0 nghĩa là Adaptive NHỎ hơn Fixed ở cùng L̄. Ba cột Fixed là ba cách nội suy giữa các điểm Fixed: 'chia sẻ thời gian' = trộn hai Fixed theo tỉ lệ token (đạt được thật bằng layout lai, nên đây là đối thủ hợp lệ nhưng yếu nhất); 'dây cung log₂' ; 'bậc 2' = ước lượng đường cong Fixed liên tục (Fixed với L không phải luỹ thừa 2 không chạy được trong cây này). Kết quả đáng tin nhất = cột bậc 2 (lợi ~0,5–1,0%); cột chia sẻ thời gian cho ~1,3–2,0%.</t>
  </si>
  <si>
    <t xml:space="preserve">D. DP-decode (mới) có tốt hơn DP-bits (cũ) ở cùng L̄ không?</t>
  </si>
  <si>
    <t xml:space="preserve">DP-bits λ=12000 (L̄≈86,05)</t>
  </si>
  <si>
    <t xml:space="preserve">DP-decode λ=100 (L̄≈86,87)</t>
  </si>
  <si>
    <t xml:space="preserve">Chênh kích thước (B)</t>
  </si>
  <si>
    <t xml:space="preserve">Giảm kích thước kỳ vọng nếu chỉ vì L̄ lớn hơn (B)</t>
  </si>
  <si>
    <t xml:space="preserve">Giảm kích thước thực tế (B)</t>
  </si>
  <si>
    <t xml:space="preserve">⇒ Phần cải thiện NGOÀI hiệu ứng L̄ (B)</t>
  </si>
  <si>
    <t xml:space="preserve">Kết luận: hai mục tiêu cho cùng một đường Pareto (DP-decode còn nhỉnh hơn một chút về L̄ nhưng không cho thêm nén ngoài hiệu ứng đó). Giả thuyết 2 (hàm chi phí sai) KHÔNG phải nguyên nhân làm Adaptive chưa nén tốt hơn nhiều; đổi mục tiêu chỉ dịch điểm dọc theo cùng đường cong.</t>
  </si>
  <si>
    <t xml:space="preserve">E. Giả thuyết 1: DP tối ưu bit arithmetic coding, file thật là rank + bzip2</t>
  </si>
  <si>
    <t xml:space="preserve">AC bits (lý tưởng)</t>
  </si>
  <si>
    <t xml:space="preserve">AC bytes = bits/8</t>
  </si>
  <si>
    <t xml:space="preserve">bz2(rank) (B)</t>
  </si>
  <si>
    <t xml:space="preserve">File thật (B)</t>
  </si>
  <si>
    <t xml:space="preserve">File thật / AC lý tưởng</t>
  </si>
  <si>
    <t xml:space="preserve">Khoảng cách file thật / AC lý tưởng là 1,28–1,37× và GIẢM khi chunk ngắn đi (L̄ nhỏ → tỉ lệ nhỏ hơn). Nghĩa là mục tiêu 'bit AC' đánh giá quá cao lợi ích của chunk dài so với kích thước rank+bz2 thật — hướng sai lệch có cơ chế rõ, nhưng CHƯA chứng minh sai lệch đủ lớn để đổi lựa chọn của DP. Phép thử trực tiếp: DP với mục tiêu proxy rank (xem bước tiếp theo).</t>
  </si>
  <si>
    <t xml:space="preserve">F. Tổng tính toán: chi phí phân tích ở encoder so với phần giải nén tiết kiệm (ước tính theo dây cung, cận trên)</t>
  </si>
  <si>
    <t xml:space="preserve">Enc Adaptive (s)</t>
  </si>
  <si>
    <t xml:space="preserve">Enc Fixed trung bình (s)</t>
  </si>
  <si>
    <t xml:space="preserve">Chi phí phân tích (s)</t>
  </si>
  <si>
    <t xml:space="preserve">L tương đương (dây cung)</t>
  </si>
  <si>
    <t xml:space="preserve">Tiết kiệm dec — c chậm (s)</t>
  </si>
  <si>
    <t xml:space="preserve">Ròng — c chậm (s)</t>
  </si>
  <si>
    <t xml:space="preserve">Tiết kiệm dec — c nhanh (s)</t>
  </si>
  <si>
    <t xml:space="preserve">Ròng — c nhanh (s)</t>
  </si>
  <si>
    <t xml:space="preserve">Kết luận (c chậm)</t>
  </si>
  <si>
    <t xml:space="preserve">Adaptive chỉ đáng giá về tổng tính toán khi file được giải nén nhiều lần hoặc ở vùng context dài (decode đắt). Ở vùng chunk ngắn, phần tiết kiệm giải nén nhỏ hơn chi phí 135 s phân tích → cần FeaturePolicy (không cần chấm điểm LLM) để encoder rẻ.</t>
  </si>
  <si>
    <t xml:space="preserve">Giai đoạn 4–5 — Mẫu bảng Fixed vs Adaptive</t>
  </si>
  <si>
    <t xml:space="preserve">Điền ô xanh (input) hoặc vàng. Cột tính toán tự cập nhật. Chạy Fixed bằng CHÍNH adaptive_context_finezip.py (FixedPolicy) để so sánh cùng khuôn mã hoá.</t>
  </si>
  <si>
    <t xml:space="preserve">Hàng mẫu (xám)</t>
  </si>
  <si>
    <t xml:space="preserve">Số từ MockLM 6.037 token — KHÔNG phải kết quả thật; xoá khi có số thật.</t>
  </si>
  <si>
    <t xml:space="preserve">So với Fixed-512 (kích thước)</t>
  </si>
  <si>
    <t xml:space="preserve">Tiết kiệm enc so với Fixed-512</t>
  </si>
  <si>
    <t xml:space="preserve">Lossless?</t>
  </si>
  <si>
    <t xml:space="preserve">Phân bố chunk 32/64/128/256/512</t>
  </si>
  <si>
    <t xml:space="preserve">quick_check OK (mẫu)</t>
  </si>
  <si>
    <t xml:space="preserve">8947 ×32</t>
  </si>
  <si>
    <t xml:space="preserve">1/4473 (32/64)</t>
  </si>
  <si>
    <t xml:space="preserve">1/1/2236 (32/64/128)</t>
  </si>
  <si>
    <t xml:space="preserve">1/1/1118 (32/64/256)</t>
  </si>
  <si>
    <t xml:space="preserve">1/1/559 (32/64/512)</t>
  </si>
  <si>
    <t xml:space="preserve">Adaptive-Feature (entropy+lặp)</t>
  </si>
  <si>
    <t xml:space="preserve">Adaptive-DP λ=1000</t>
  </si>
  <si>
    <t xml:space="preserve">True (decode đầy đủ)</t>
  </si>
  <si>
    <t xml:space="preserve">1/17/50/397/346</t>
  </si>
  <si>
    <t xml:space="preserve">v3, không escape. Dec lần trước (phiên khác) 9.523 s cùng blob. Enc = phân tích DP (~135 s) + lượt rank (~27 s).</t>
  </si>
  <si>
    <t xml:space="preserve">Adaptive-DP λ=2000</t>
  </si>
  <si>
    <t xml:space="preserve">Adaptive-DP λ=5000</t>
  </si>
  <si>
    <t xml:space="preserve">39/380/1401/292/13</t>
  </si>
  <si>
    <t xml:space="preserve">v3. Chưa giải nén đầy đủ; bản v1 cùng layout đã giải nén đúng 4.605,5 s.</t>
  </si>
  <si>
    <t xml:space="preserve">Adaptive-DP λ=12000</t>
  </si>
  <si>
    <t xml:space="preserve">563/2694/703/23/0</t>
  </si>
  <si>
    <t xml:space="preserve">v3. Chưa giải nén đầy đủ.</t>
  </si>
  <si>
    <t xml:space="preserve">Adaptive-DP λ=40000</t>
  </si>
  <si>
    <t xml:space="preserve">6735/1100/3/0/0</t>
  </si>
  <si>
    <t xml:space="preserve">VÍ DỤ (mock): Fixed-512</t>
  </si>
  <si>
    <t xml:space="preserve">VÍ DỤ (mock): Adaptive-DP λ=3000</t>
  </si>
  <si>
    <t xml:space="preserve">Hàng mẫu chỉ minh hoạ cột D và G (chênh kích thước &amp; tiết kiệm thời gian ước lượng); cột Ratio bỏ trống vì mock chỉ có 6.037 token.</t>
  </si>
  <si>
    <t xml:space="preserve">⚠ Enc: Fixed ≈ 27 s (chỉ lượt rank). Adaptive ≈ 160–165 s (chấm điểm 5 mức L ≈ 135 s + lượt rank) → encoder chậm ~6×. Tất cả số Enc trong bảng này cùng một phiên Kaggle. So sánh ĐÚNG giữa Fixed và Adaptive phải ở cùng chi phí giải nén — xem GD5_SoSanh.</t>
  </si>
  <si>
    <t xml:space="preserve">Ablation (điền sau)</t>
  </si>
  <si>
    <t xml:space="preserve">Thí nghiệm</t>
  </si>
  <si>
    <t xml:space="preserve">Kết luận ngắn</t>
  </si>
  <si>
    <t xml:space="preserve">A. Context</t>
  </si>
  <si>
    <t xml:space="preserve">Adaptive OFF: Fixed 32…512</t>
  </si>
  <si>
    <t xml:space="preserve">B. Online memorization</t>
  </si>
  <si>
    <t xml:space="preserve">No LoRA / LoRA (pipeline rank+bzip2)</t>
  </si>
  <si>
    <t xml:space="preserve">Fixed-512 + LoRA vs Adaptive + LoRA</t>
  </si>
  <si>
    <t xml:space="preserve">C. Chính sách</t>
  </si>
  <si>
    <t xml:space="preserve">Feature (entropy) / Feature (lặp) / DP</t>
  </si>
  <si>
    <t xml:space="preserve">D. Dữ liệu</t>
  </si>
  <si>
    <t xml:space="preserve">Thuần văn xuôi / hỗn hợp wiki+code+bảng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</si>
</sst>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0.000\×"/>
    <numFmt numFmtId="167" formatCode="0.00%"/>
    <numFmt numFmtId="168" formatCode="0.000"/>
    <numFmt numFmtId="169" formatCode="#,##0.00"/>
    <numFmt numFmtId="170" formatCode="0.0%"/>
    <numFmt numFmtId="171" formatCode="0.0\×"/>
    <numFmt numFmtId="172" formatCode="0.00\×"/>
    <numFmt numFmtId="173" formatCode="0.0000"/>
    <numFmt numFmtId="174" formatCode="#,##0.0"/>
    <numFmt numFmtId="175" formatCode="0\×"/>
    <numFmt numFmtId="176" formatCode="0"/>
    <numFmt numFmtId="177" formatCode="0.00"/>
    <numFmt numFmtId="178" formatCode="0.0"/>
    <numFmt numFmtId="179" formatCode="0.00E+00"/>
    <numFmt numFmtId="180" formatCode="0.000\×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12" activePane="bottomLeft" state="frozen"/>
      <selection pane="topLeft" activeCell="A1" activeCellId="0" sqref="A1"/>
      <selection pane="bottomLeft" activeCell="D13" activeCellId="0" sqref="D1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8"/>
    <col collapsed="false" customWidth="true" hidden="false" outlineLevel="0" max="3" min="3" style="1" width="36"/>
    <col collapsed="false" customWidth="true" hidden="false" outlineLevel="0" max="4" min="4" style="1" width="64"/>
    <col collapsed="false" customWidth="true" hidden="false" outlineLevel="0" max="5" min="5" style="1" width="22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48" hidden="false" customHeight="true" outlineLevel="0" collapsed="false">
      <c r="A5" s="5" t="s">
        <v>3</v>
      </c>
      <c r="B5" s="5"/>
      <c r="C5" s="5"/>
      <c r="D5" s="5"/>
      <c r="E5" s="5"/>
    </row>
    <row r="7" customFormat="false" ht="43.5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</row>
    <row r="8" customFormat="false" ht="63.75" hidden="false" customHeight="true" outlineLevel="0" collapsed="false">
      <c r="A8" s="7" t="n">
        <v>1</v>
      </c>
      <c r="B8" s="8" t="s">
        <v>9</v>
      </c>
      <c r="C8" s="8" t="s">
        <v>10</v>
      </c>
      <c r="D8" s="8" t="s">
        <v>11</v>
      </c>
      <c r="E8" s="8" t="s">
        <v>12</v>
      </c>
    </row>
    <row r="9" customFormat="false" ht="63.75" hidden="false" customHeight="true" outlineLevel="0" collapsed="false">
      <c r="A9" s="7" t="n">
        <v>2</v>
      </c>
      <c r="B9" s="8" t="s">
        <v>13</v>
      </c>
      <c r="C9" s="8" t="s">
        <v>14</v>
      </c>
      <c r="D9" s="8" t="s">
        <v>15</v>
      </c>
      <c r="E9" s="8" t="s">
        <v>12</v>
      </c>
    </row>
    <row r="10" customFormat="false" ht="63.75" hidden="false" customHeight="true" outlineLevel="0" collapsed="false">
      <c r="A10" s="7" t="n">
        <v>3</v>
      </c>
      <c r="B10" s="8" t="s">
        <v>16</v>
      </c>
      <c r="C10" s="8" t="s">
        <v>17</v>
      </c>
      <c r="D10" s="8" t="s">
        <v>18</v>
      </c>
      <c r="E10" s="8" t="s">
        <v>12</v>
      </c>
    </row>
    <row r="11" customFormat="false" ht="63.75" hidden="false" customHeight="true" outlineLevel="0" collapsed="false">
      <c r="A11" s="7" t="n">
        <v>4</v>
      </c>
      <c r="B11" s="8" t="s">
        <v>19</v>
      </c>
      <c r="C11" s="9" t="s">
        <v>20</v>
      </c>
      <c r="D11" s="8" t="s">
        <v>21</v>
      </c>
      <c r="E11" s="10" t="s">
        <v>22</v>
      </c>
    </row>
    <row r="12" customFormat="false" ht="63.75" hidden="false" customHeight="true" outlineLevel="0" collapsed="false">
      <c r="A12" s="7" t="n">
        <v>5</v>
      </c>
      <c r="B12" s="8" t="s">
        <v>23</v>
      </c>
      <c r="C12" s="8" t="s">
        <v>24</v>
      </c>
      <c r="D12" s="8" t="s">
        <v>25</v>
      </c>
      <c r="E12" s="8" t="s">
        <v>26</v>
      </c>
    </row>
    <row r="13" customFormat="false" ht="63.75" hidden="false" customHeight="true" outlineLevel="0" collapsed="false">
      <c r="A13" s="7" t="n">
        <v>6</v>
      </c>
      <c r="B13" s="8" t="s">
        <v>27</v>
      </c>
      <c r="C13" s="8" t="s">
        <v>28</v>
      </c>
      <c r="D13" s="8" t="s">
        <v>29</v>
      </c>
      <c r="E13" s="8" t="s">
        <v>30</v>
      </c>
    </row>
    <row r="14" customFormat="false" ht="63.75" hidden="false" customHeight="true" outlineLevel="0" collapsed="false">
      <c r="A14" s="7" t="n">
        <v>7</v>
      </c>
      <c r="B14" s="8" t="s">
        <v>31</v>
      </c>
      <c r="C14" s="8" t="s">
        <v>32</v>
      </c>
      <c r="D14" s="8" t="s">
        <v>33</v>
      </c>
      <c r="E14" s="8" t="s">
        <v>12</v>
      </c>
    </row>
    <row r="15" customFormat="false" ht="63.75" hidden="false" customHeight="true" outlineLevel="0" collapsed="false">
      <c r="A15" s="7" t="n">
        <v>8</v>
      </c>
      <c r="B15" s="8" t="s">
        <v>34</v>
      </c>
      <c r="C15" s="8" t="s">
        <v>35</v>
      </c>
      <c r="D15" s="8" t="s">
        <v>36</v>
      </c>
      <c r="E15" s="8" t="s">
        <v>12</v>
      </c>
    </row>
    <row r="16" customFormat="false" ht="63.75" hidden="false" customHeight="true" outlineLevel="0" collapsed="false">
      <c r="A16" s="7" t="n">
        <v>9</v>
      </c>
      <c r="B16" s="8" t="s">
        <v>37</v>
      </c>
      <c r="C16" s="8" t="s">
        <v>38</v>
      </c>
      <c r="D16" s="8" t="s">
        <v>39</v>
      </c>
      <c r="E16" s="8" t="s">
        <v>40</v>
      </c>
    </row>
    <row r="17" customFormat="false" ht="63.75" hidden="false" customHeight="true" outlineLevel="0" collapsed="false">
      <c r="A17" s="7" t="n">
        <v>10</v>
      </c>
      <c r="B17" s="8" t="s">
        <v>41</v>
      </c>
      <c r="C17" s="8" t="s">
        <v>42</v>
      </c>
      <c r="D17" s="8" t="s">
        <v>43</v>
      </c>
      <c r="E17" s="8" t="s">
        <v>44</v>
      </c>
    </row>
  </sheetData>
  <mergeCells count="1"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N19" activeCellId="0" sqref="N1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8.29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false" outlineLevel="0" max="9" min="6" style="1" width="13"/>
    <col collapsed="false" customWidth="true" hidden="false" outlineLevel="0" max="10" min="10" style="1" width="9"/>
    <col collapsed="false" customWidth="true" hidden="false" outlineLevel="0" max="12" min="11" style="1" width="11"/>
    <col collapsed="false" customWidth="true" hidden="false" outlineLevel="0" max="13" min="13" style="1" width="13"/>
    <col collapsed="false" customWidth="true" hidden="false" outlineLevel="0" max="14" min="14" style="1" width="9"/>
    <col collapsed="false" customWidth="true" hidden="false" outlineLevel="0" max="15" min="15" style="1" width="13"/>
    <col collapsed="false" customWidth="true" hidden="false" outlineLevel="0" max="16" min="16" style="1" width="48"/>
  </cols>
  <sheetData>
    <row r="1" customFormat="false" ht="18" hidden="false" customHeight="true" outlineLevel="0" collapsed="false">
      <c r="A1" s="2" t="s">
        <v>45</v>
      </c>
    </row>
    <row r="2" customFormat="false" ht="15" hidden="false" customHeight="true" outlineLevel="0" collapsed="false">
      <c r="A2" s="3" t="s">
        <v>46</v>
      </c>
    </row>
    <row r="3" customFormat="false" ht="15" hidden="false" customHeight="true" outlineLevel="0" collapsed="false">
      <c r="A3" s="11" t="s">
        <v>47</v>
      </c>
      <c r="B3" s="12" t="n">
        <v>1000000</v>
      </c>
    </row>
    <row r="4" customFormat="false" ht="15" hidden="false" customHeight="true" outlineLevel="0" collapsed="false">
      <c r="A4" s="11" t="s">
        <v>48</v>
      </c>
      <c r="B4" s="12" t="n">
        <v>995768</v>
      </c>
    </row>
    <row r="5" customFormat="false" ht="15" hidden="false" customHeight="true" outlineLevel="0" collapsed="false">
      <c r="A5" s="11" t="s">
        <v>49</v>
      </c>
      <c r="B5" s="12" t="n">
        <v>286273</v>
      </c>
    </row>
    <row r="7" customFormat="false" ht="43.5" hidden="false" customHeight="true" outlineLevel="0" collapsed="false">
      <c r="A7" s="6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6" t="s">
        <v>57</v>
      </c>
      <c r="I7" s="6" t="s">
        <v>58</v>
      </c>
      <c r="J7" s="6" t="s">
        <v>59</v>
      </c>
      <c r="K7" s="6" t="s">
        <v>60</v>
      </c>
      <c r="L7" s="6" t="s">
        <v>61</v>
      </c>
      <c r="M7" s="6" t="s">
        <v>62</v>
      </c>
      <c r="N7" s="6" t="s">
        <v>63</v>
      </c>
      <c r="O7" s="6" t="s">
        <v>64</v>
      </c>
      <c r="P7" s="6" t="s">
        <v>65</v>
      </c>
    </row>
    <row r="8" customFormat="false" ht="15" hidden="false" customHeight="true" outlineLevel="0" collapsed="false">
      <c r="A8" s="11" t="s">
        <v>66</v>
      </c>
      <c r="B8" s="13" t="s">
        <v>67</v>
      </c>
      <c r="C8" s="8" t="s">
        <v>68</v>
      </c>
      <c r="D8" s="7" t="s">
        <v>67</v>
      </c>
      <c r="E8" s="7" t="s">
        <v>67</v>
      </c>
      <c r="F8" s="13"/>
      <c r="G8" s="12" t="n">
        <v>355808</v>
      </c>
      <c r="H8" s="14" t="n">
        <f aca="false">$B$3/G8</f>
        <v>2.81050454177534</v>
      </c>
      <c r="I8" s="15" t="n">
        <f aca="false">G8/$B$3</f>
        <v>0.355808</v>
      </c>
      <c r="J8" s="16" t="n">
        <f aca="false">G8*8/$B$4</f>
        <v>2.85856143198014</v>
      </c>
      <c r="K8" s="17" t="n">
        <v>0.0696</v>
      </c>
      <c r="L8" s="17" t="n">
        <v>0.0064</v>
      </c>
      <c r="M8" s="7" t="s">
        <v>67</v>
      </c>
      <c r="N8" s="7" t="s">
        <v>69</v>
      </c>
      <c r="O8" s="18" t="n">
        <f aca="false">1-G8/$G$9</f>
        <v>-0.264766833852902</v>
      </c>
      <c r="P8" s="8" t="s">
        <v>70</v>
      </c>
    </row>
    <row r="9" customFormat="false" ht="15" hidden="false" customHeight="true" outlineLevel="0" collapsed="false">
      <c r="A9" s="11" t="s">
        <v>71</v>
      </c>
      <c r="B9" s="13" t="s">
        <v>67</v>
      </c>
      <c r="C9" s="8" t="s">
        <v>72</v>
      </c>
      <c r="D9" s="7" t="s">
        <v>67</v>
      </c>
      <c r="E9" s="7" t="s">
        <v>67</v>
      </c>
      <c r="F9" s="13"/>
      <c r="G9" s="12" t="n">
        <v>281323</v>
      </c>
      <c r="H9" s="14" t="n">
        <f aca="false">$B$3/G9</f>
        <v>3.5546329308304</v>
      </c>
      <c r="I9" s="15" t="n">
        <f aca="false">G9/$B$3</f>
        <v>0.281323</v>
      </c>
      <c r="J9" s="16" t="n">
        <f aca="false">G9*8/$B$4</f>
        <v>2.26014895035791</v>
      </c>
      <c r="K9" s="17" t="n">
        <v>0.0951</v>
      </c>
      <c r="L9" s="17" t="n">
        <v>0.0408</v>
      </c>
      <c r="M9" s="7" t="s">
        <v>67</v>
      </c>
      <c r="N9" s="7" t="s">
        <v>69</v>
      </c>
      <c r="O9" s="18" t="n">
        <f aca="false">1-G9/$G$9</f>
        <v>0</v>
      </c>
      <c r="P9" s="8" t="s">
        <v>70</v>
      </c>
    </row>
    <row r="10" customFormat="false" ht="25.5" hidden="false" customHeight="true" outlineLevel="0" collapsed="false">
      <c r="A10" s="11" t="s">
        <v>73</v>
      </c>
      <c r="B10" s="13" t="s">
        <v>74</v>
      </c>
      <c r="C10" s="8" t="s">
        <v>75</v>
      </c>
      <c r="D10" s="19" t="n">
        <v>32</v>
      </c>
      <c r="E10" s="19" t="n">
        <v>1</v>
      </c>
      <c r="F10" s="12" t="n">
        <v>1494873</v>
      </c>
      <c r="G10" s="20" t="n">
        <f aca="false">ROUNDUP(F10/8,0)</f>
        <v>186860</v>
      </c>
      <c r="H10" s="14" t="n">
        <f aca="false">$B$3/G10</f>
        <v>5.3516001284384</v>
      </c>
      <c r="I10" s="15" t="n">
        <f aca="false">G10/$B$3</f>
        <v>0.18686</v>
      </c>
      <c r="J10" s="16" t="n">
        <f aca="false">G10*8/$B$4</f>
        <v>1.50123321898273</v>
      </c>
      <c r="K10" s="17" t="n">
        <v>2905.93</v>
      </c>
      <c r="L10" s="17" t="n">
        <v>2851.32</v>
      </c>
      <c r="M10" s="17" t="n">
        <v>995.75</v>
      </c>
      <c r="N10" s="7" t="s">
        <v>69</v>
      </c>
      <c r="O10" s="18" t="n">
        <f aca="false">1-G10/$G$9</f>
        <v>0.335781290545032</v>
      </c>
      <c r="P10" s="8" t="s">
        <v>76</v>
      </c>
    </row>
    <row r="11" customFormat="false" ht="25.5" hidden="false" customHeight="true" outlineLevel="0" collapsed="false">
      <c r="A11" s="11" t="s">
        <v>77</v>
      </c>
      <c r="B11" s="13" t="s">
        <v>74</v>
      </c>
      <c r="C11" s="8" t="s">
        <v>78</v>
      </c>
      <c r="D11" s="19" t="n">
        <v>32</v>
      </c>
      <c r="E11" s="19" t="n">
        <v>1</v>
      </c>
      <c r="F11" s="13"/>
      <c r="G11" s="12" t="n">
        <v>293093</v>
      </c>
      <c r="H11" s="14" t="n">
        <f aca="false">$B$3/G11</f>
        <v>3.41188632959504</v>
      </c>
      <c r="I11" s="15" t="n">
        <f aca="false">G11/$B$3</f>
        <v>0.293093</v>
      </c>
      <c r="J11" s="16" t="n">
        <f aca="false">G11*8/$B$4</f>
        <v>2.35470912903407</v>
      </c>
      <c r="K11" s="17" t="n">
        <v>2740.09</v>
      </c>
      <c r="L11" s="17" t="n">
        <v>2761.86</v>
      </c>
      <c r="M11" s="17" t="n">
        <v>993.43</v>
      </c>
      <c r="N11" s="7" t="s">
        <v>69</v>
      </c>
      <c r="O11" s="18" t="n">
        <f aca="false">1-G11/$G$9</f>
        <v>-0.0418380295958738</v>
      </c>
      <c r="P11" s="8" t="s">
        <v>79</v>
      </c>
    </row>
    <row r="12" customFormat="false" ht="25.5" hidden="false" customHeight="true" outlineLevel="0" collapsed="false">
      <c r="A12" s="11" t="s">
        <v>77</v>
      </c>
      <c r="B12" s="13" t="s">
        <v>74</v>
      </c>
      <c r="C12" s="8" t="s">
        <v>78</v>
      </c>
      <c r="D12" s="19" t="n">
        <v>32</v>
      </c>
      <c r="E12" s="19" t="n">
        <v>64</v>
      </c>
      <c r="F12" s="13"/>
      <c r="G12" s="12" t="n">
        <v>293027</v>
      </c>
      <c r="H12" s="14" t="n">
        <f aca="false">$B$3/G12</f>
        <v>3.41265480655366</v>
      </c>
      <c r="I12" s="15" t="n">
        <f aca="false">G12/$B$3</f>
        <v>0.293027</v>
      </c>
      <c r="J12" s="16" t="n">
        <f aca="false">G12*8/$B$4</f>
        <v>2.3541788850415</v>
      </c>
      <c r="K12" s="17" t="n">
        <v>61.62886</v>
      </c>
      <c r="L12" s="21" t="s">
        <v>80</v>
      </c>
      <c r="M12" s="21" t="s">
        <v>80</v>
      </c>
      <c r="N12" s="7" t="s">
        <v>69</v>
      </c>
      <c r="O12" s="18" t="n">
        <f aca="false">1-G12/$G$9</f>
        <v>-0.041603423822439</v>
      </c>
      <c r="P12" s="8" t="s">
        <v>81</v>
      </c>
    </row>
    <row r="15" customFormat="false" ht="15" hidden="false" customHeight="true" outlineLevel="0" collapsed="false">
      <c r="A15" s="22" t="s">
        <v>82</v>
      </c>
    </row>
    <row r="16" customFormat="false" ht="15" hidden="false" customHeight="true" outlineLevel="0" collapsed="false">
      <c r="A16" s="23" t="s">
        <v>83</v>
      </c>
      <c r="B16" s="14" t="n">
        <f aca="false">H10/H8</f>
        <v>1.90414213849941</v>
      </c>
    </row>
    <row r="17" customFormat="false" ht="15" hidden="false" customHeight="true" outlineLevel="0" collapsed="false">
      <c r="A17" s="23" t="s">
        <v>84</v>
      </c>
      <c r="B17" s="14" t="n">
        <f aca="false">H10/H9</f>
        <v>1.50552820293268</v>
      </c>
    </row>
    <row r="18" customFormat="false" ht="15" hidden="false" customHeight="true" outlineLevel="0" collapsed="false">
      <c r="A18" s="23" t="s">
        <v>85</v>
      </c>
      <c r="B18" s="14" t="n">
        <f aca="false">H11/H9</f>
        <v>0.959842097900666</v>
      </c>
    </row>
    <row r="19" customFormat="false" ht="25.5" hidden="false" customHeight="true" outlineLevel="0" collapsed="false">
      <c r="A19" s="23" t="s">
        <v>86</v>
      </c>
      <c r="B19" s="24" t="n">
        <f aca="false">K11/K12</f>
        <v>44.4611501819115</v>
      </c>
    </row>
    <row r="20" customFormat="false" ht="25.5" hidden="false" customHeight="true" outlineLevel="0" collapsed="false">
      <c r="A20" s="23" t="s">
        <v>87</v>
      </c>
      <c r="B20" s="20" t="n">
        <f aca="false">G11-G12</f>
        <v>66</v>
      </c>
    </row>
    <row r="22" customFormat="false" ht="30" hidden="false" customHeight="true" outlineLevel="0" collapsed="false">
      <c r="A22" s="25" t="s">
        <v>88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customFormat="false" ht="30" hidden="false" customHeight="true" outlineLevel="0" collapsed="false">
      <c r="A23" s="25" t="s">
        <v>89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customFormat="false" ht="30" hidden="false" customHeight="true" outlineLevel="0" collapsed="false">
      <c r="A24" s="25" t="s">
        <v>90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</sheetData>
  <mergeCells count="3">
    <mergeCell ref="A22:P22"/>
    <mergeCell ref="A23:P23"/>
    <mergeCell ref="A24:P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L19" activeCellId="0" sqref="L1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5"/>
    <col collapsed="false" customWidth="true" hidden="false" outlineLevel="0" max="5" min="4" style="1" width="14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11" min="9" style="1" width="13"/>
    <col collapsed="false" customWidth="true" hidden="false" outlineLevel="0" max="12" min="12" style="1" width="17"/>
    <col collapsed="false" customWidth="true" hidden="false" outlineLevel="0" max="13" min="13" style="1" width="10"/>
  </cols>
  <sheetData>
    <row r="1" customFormat="false" ht="18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3" customFormat="false" ht="15" hidden="false" customHeight="true" outlineLevel="0" collapsed="false">
      <c r="A3" s="11" t="s">
        <v>93</v>
      </c>
      <c r="B3" s="26" t="n">
        <f aca="false">GD2_Baseline!B3</f>
        <v>1000000</v>
      </c>
    </row>
    <row r="4" customFormat="false" ht="15" hidden="false" customHeight="true" outlineLevel="0" collapsed="false">
      <c r="A4" s="11" t="s">
        <v>94</v>
      </c>
      <c r="B4" s="26" t="n">
        <f aca="false">GD2_Baseline!B4</f>
        <v>995768</v>
      </c>
    </row>
    <row r="6" customFormat="false" ht="15" hidden="false" customHeight="true" outlineLevel="0" collapsed="false">
      <c r="A6" s="22" t="s">
        <v>95</v>
      </c>
    </row>
    <row r="7" customFormat="false" ht="43.5" hidden="false" customHeight="true" outlineLevel="0" collapsed="false">
      <c r="A7" s="6" t="s">
        <v>96</v>
      </c>
      <c r="B7" s="6" t="s">
        <v>56</v>
      </c>
      <c r="C7" s="6" t="s">
        <v>57</v>
      </c>
      <c r="D7" s="6" t="s">
        <v>97</v>
      </c>
      <c r="E7" s="6" t="s">
        <v>98</v>
      </c>
      <c r="F7" s="6" t="s">
        <v>99</v>
      </c>
      <c r="G7" s="6" t="s">
        <v>100</v>
      </c>
      <c r="H7" s="6" t="s">
        <v>101</v>
      </c>
      <c r="I7" s="6" t="s">
        <v>102</v>
      </c>
      <c r="J7" s="6" t="s">
        <v>61</v>
      </c>
      <c r="K7" s="6" t="s">
        <v>62</v>
      </c>
      <c r="L7" s="6" t="s">
        <v>103</v>
      </c>
      <c r="M7" s="6" t="s">
        <v>63</v>
      </c>
    </row>
    <row r="8" customFormat="false" ht="15" hidden="false" customHeight="true" outlineLevel="0" collapsed="false">
      <c r="A8" s="19" t="n">
        <v>32</v>
      </c>
      <c r="B8" s="12" t="n">
        <v>293027</v>
      </c>
      <c r="C8" s="14" t="n">
        <f aca="false">$B$3/B8</f>
        <v>3.41265480655366</v>
      </c>
      <c r="D8" s="15" t="n">
        <f aca="false">B8/$B$3</f>
        <v>0.293027</v>
      </c>
      <c r="E8" s="18" t="n">
        <f aca="false">C8/$C$8-1</f>
        <v>0</v>
      </c>
      <c r="F8" s="17" t="n">
        <v>61.62886</v>
      </c>
      <c r="G8" s="27" t="n">
        <f aca="false">F8/$F$8</f>
        <v>1</v>
      </c>
      <c r="H8" s="17" t="n">
        <v>60.808464</v>
      </c>
      <c r="I8" s="18" t="n">
        <f aca="false">H8/F8-1</f>
        <v>-0.0133118801808114</v>
      </c>
      <c r="J8" s="21" t="s">
        <v>80</v>
      </c>
      <c r="K8" s="21" t="s">
        <v>80</v>
      </c>
      <c r="L8" s="7" t="s">
        <v>67</v>
      </c>
      <c r="M8" s="7" t="s">
        <v>69</v>
      </c>
    </row>
    <row r="9" customFormat="false" ht="15" hidden="false" customHeight="true" outlineLevel="0" collapsed="false">
      <c r="A9" s="19" t="n">
        <v>64</v>
      </c>
      <c r="B9" s="12" t="n">
        <v>264110</v>
      </c>
      <c r="C9" s="14" t="n">
        <f aca="false">$B$3/B9</f>
        <v>3.78630116239446</v>
      </c>
      <c r="D9" s="15" t="n">
        <f aca="false">B9/$B$3</f>
        <v>0.26411</v>
      </c>
      <c r="E9" s="18" t="n">
        <f aca="false">C9/$C$8-1</f>
        <v>0.10948847071296</v>
      </c>
      <c r="F9" s="17" t="n">
        <v>67.17076</v>
      </c>
      <c r="G9" s="27" t="n">
        <f aca="false">F9/$F$8</f>
        <v>1.08992377921643</v>
      </c>
      <c r="H9" s="17" t="n">
        <v>69.091072</v>
      </c>
      <c r="I9" s="18" t="n">
        <f aca="false">H9/F9-1</f>
        <v>0.0285885108341784</v>
      </c>
      <c r="J9" s="21" t="s">
        <v>80</v>
      </c>
      <c r="K9" s="21" t="s">
        <v>80</v>
      </c>
      <c r="L9" s="20" t="n">
        <f aca="false">(B8-B9)*8/(F9-F8)</f>
        <v>41743.0845017052</v>
      </c>
      <c r="M9" s="7" t="s">
        <v>69</v>
      </c>
    </row>
    <row r="10" customFormat="false" ht="15" hidden="false" customHeight="true" outlineLevel="0" collapsed="false">
      <c r="A10" s="19" t="n">
        <v>128</v>
      </c>
      <c r="B10" s="12" t="n">
        <v>240733</v>
      </c>
      <c r="C10" s="14" t="n">
        <f aca="false">$B$3/B10</f>
        <v>4.15397972027101</v>
      </c>
      <c r="D10" s="15" t="n">
        <f aca="false">B10/$B$3</f>
        <v>0.240733</v>
      </c>
      <c r="E10" s="18" t="n">
        <f aca="false">C10/$C$8-1</f>
        <v>0.217228215491852</v>
      </c>
      <c r="F10" s="17" t="n">
        <v>82.953516</v>
      </c>
      <c r="G10" s="27" t="n">
        <f aca="false">F10/$F$8</f>
        <v>1.34601736913517</v>
      </c>
      <c r="H10" s="17" t="n">
        <v>88.830186</v>
      </c>
      <c r="I10" s="18" t="n">
        <f aca="false">H10/F10-1</f>
        <v>0.0708429284661063</v>
      </c>
      <c r="J10" s="21" t="s">
        <v>80</v>
      </c>
      <c r="K10" s="21" t="s">
        <v>80</v>
      </c>
      <c r="L10" s="20" t="n">
        <f aca="false">(B9-B10)*8/(F10-F9)</f>
        <v>11849.3880283013</v>
      </c>
      <c r="M10" s="7" t="s">
        <v>69</v>
      </c>
    </row>
    <row r="11" customFormat="false" ht="15" hidden="false" customHeight="true" outlineLevel="0" collapsed="false">
      <c r="A11" s="19" t="n">
        <v>256</v>
      </c>
      <c r="B11" s="12" t="n">
        <v>222510</v>
      </c>
      <c r="C11" s="14" t="n">
        <f aca="false">$B$3/B11</f>
        <v>4.49418003685228</v>
      </c>
      <c r="D11" s="15" t="n">
        <f aca="false">B11/$B$3</f>
        <v>0.22251</v>
      </c>
      <c r="E11" s="18" t="n">
        <f aca="false">C11/$C$8-1</f>
        <v>0.316916093658712</v>
      </c>
      <c r="F11" s="17" t="n">
        <v>114.332818</v>
      </c>
      <c r="G11" s="27" t="n">
        <f aca="false">F11/$F$8</f>
        <v>1.85518307494249</v>
      </c>
      <c r="H11" s="17" t="n">
        <v>124.829865</v>
      </c>
      <c r="I11" s="18" t="n">
        <f aca="false">H11/F11-1</f>
        <v>0.0918113205256603</v>
      </c>
      <c r="J11" s="21" t="s">
        <v>80</v>
      </c>
      <c r="K11" s="21" t="s">
        <v>80</v>
      </c>
      <c r="L11" s="20" t="n">
        <f aca="false">(B10-B11)*8/(F11-F10)</f>
        <v>4645.8649717575</v>
      </c>
      <c r="M11" s="7" t="s">
        <v>69</v>
      </c>
    </row>
    <row r="12" customFormat="false" ht="15" hidden="false" customHeight="true" outlineLevel="0" collapsed="false">
      <c r="A12" s="19" t="n">
        <v>512</v>
      </c>
      <c r="B12" s="12" t="n">
        <v>208720</v>
      </c>
      <c r="C12" s="14" t="n">
        <f aca="false">$B$3/B12</f>
        <v>4.79110770410119</v>
      </c>
      <c r="D12" s="15" t="n">
        <f aca="false">B12/$B$3</f>
        <v>0.20872</v>
      </c>
      <c r="E12" s="18" t="n">
        <f aca="false">C12/$C$8-1</f>
        <v>0.403923917209659</v>
      </c>
      <c r="F12" s="17" t="n">
        <v>178.817302</v>
      </c>
      <c r="G12" s="27" t="n">
        <f aca="false">F12/$F$8</f>
        <v>2.90151889877567</v>
      </c>
      <c r="H12" s="17" t="n">
        <v>199.04195</v>
      </c>
      <c r="I12" s="18" t="n">
        <f aca="false">H12/F12-1</f>
        <v>0.113102299239477</v>
      </c>
      <c r="J12" s="21" t="s">
        <v>80</v>
      </c>
      <c r="K12" s="21" t="s">
        <v>80</v>
      </c>
      <c r="L12" s="20" t="n">
        <f aca="false">(B11-B12)*8/(F12-F11)</f>
        <v>1710.79914355832</v>
      </c>
      <c r="M12" s="7" t="s">
        <v>69</v>
      </c>
    </row>
    <row r="13" customFormat="false" ht="30" hidden="false" customHeight="true" outlineLevel="0" collapsed="false">
      <c r="A13" s="25" t="s">
        <v>104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</row>
    <row r="14" customFormat="false" ht="30" hidden="false" customHeight="true" outlineLevel="0" collapsed="false">
      <c r="A14" s="25" t="s">
        <v>105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customFormat="false" ht="15" hidden="false" customHeight="true" outlineLevel="0" collapsed="false">
      <c r="A16" s="22" t="s">
        <v>106</v>
      </c>
    </row>
    <row r="17" customFormat="false" ht="43.5" hidden="false" customHeight="true" outlineLevel="0" collapsed="false">
      <c r="A17" s="6" t="s">
        <v>107</v>
      </c>
      <c r="B17" s="6" t="s">
        <v>108</v>
      </c>
      <c r="C17" s="6" t="s">
        <v>109</v>
      </c>
      <c r="D17" s="6" t="s">
        <v>57</v>
      </c>
      <c r="E17" s="6" t="s">
        <v>97</v>
      </c>
      <c r="F17" s="6" t="s">
        <v>59</v>
      </c>
      <c r="G17" s="6" t="s">
        <v>60</v>
      </c>
      <c r="H17" s="6" t="s">
        <v>110</v>
      </c>
      <c r="I17" s="6" t="s">
        <v>61</v>
      </c>
      <c r="J17" s="6" t="s">
        <v>111</v>
      </c>
      <c r="K17" s="6" t="s">
        <v>63</v>
      </c>
    </row>
    <row r="18" customFormat="false" ht="15" hidden="false" customHeight="true" outlineLevel="0" collapsed="false">
      <c r="A18" s="19" t="n">
        <v>32</v>
      </c>
      <c r="B18" s="12" t="n">
        <v>1494873</v>
      </c>
      <c r="C18" s="20" t="n">
        <f aca="false">ROUNDUP(B18/8,0)</f>
        <v>186860</v>
      </c>
      <c r="D18" s="14" t="n">
        <f aca="false">$B$3/C18</f>
        <v>5.3516001284384</v>
      </c>
      <c r="E18" s="15" t="n">
        <f aca="false">C18/$B$3</f>
        <v>0.18686</v>
      </c>
      <c r="F18" s="28" t="n">
        <f aca="false">B18/$B$4</f>
        <v>1.50122618923283</v>
      </c>
      <c r="G18" s="17" t="n">
        <v>2938.72</v>
      </c>
      <c r="H18" s="27" t="n">
        <f aca="false">G18/$G$18</f>
        <v>1</v>
      </c>
      <c r="I18" s="29" t="n">
        <f aca="false">GD2_Baseline!L10</f>
        <v>2851.32</v>
      </c>
      <c r="J18" s="7" t="s">
        <v>67</v>
      </c>
      <c r="K18" s="7" t="s">
        <v>69</v>
      </c>
    </row>
    <row r="19" customFormat="false" ht="15" hidden="false" customHeight="true" outlineLevel="0" collapsed="false">
      <c r="A19" s="19" t="n">
        <v>64</v>
      </c>
      <c r="B19" s="12" t="n">
        <v>1349477</v>
      </c>
      <c r="C19" s="20" t="n">
        <f aca="false">ROUNDUP(B19/8,0)</f>
        <v>168685</v>
      </c>
      <c r="D19" s="14" t="n">
        <f aca="false">$B$3/C19</f>
        <v>5.92820938435546</v>
      </c>
      <c r="E19" s="15" t="n">
        <f aca="false">C19/$B$3</f>
        <v>0.168685</v>
      </c>
      <c r="F19" s="28" t="n">
        <f aca="false">B19/$B$4</f>
        <v>1.35521225827703</v>
      </c>
      <c r="G19" s="17" t="n">
        <v>3072.81</v>
      </c>
      <c r="H19" s="27" t="n">
        <f aca="false">G19/$G$18</f>
        <v>1.04562870909784</v>
      </c>
      <c r="I19" s="21" t="s">
        <v>80</v>
      </c>
      <c r="J19" s="30" t="n">
        <f aca="false">(B18-B19)/(G19-G18)</f>
        <v>1084.3165038407</v>
      </c>
      <c r="K19" s="7" t="s">
        <v>69</v>
      </c>
    </row>
    <row r="20" customFormat="false" ht="15" hidden="false" customHeight="true" outlineLevel="0" collapsed="false">
      <c r="A20" s="19" t="n">
        <v>128</v>
      </c>
      <c r="B20" s="12" t="n">
        <v>1254847</v>
      </c>
      <c r="C20" s="20" t="n">
        <f aca="false">ROUNDUP(B20/8,0)</f>
        <v>156856</v>
      </c>
      <c r="D20" s="14" t="n">
        <f aca="false">$B$3/C20</f>
        <v>6.37527413678788</v>
      </c>
      <c r="E20" s="15" t="n">
        <f aca="false">C20/$B$3</f>
        <v>0.156856</v>
      </c>
      <c r="F20" s="28" t="n">
        <f aca="false">B20/$B$4</f>
        <v>1.26018008210748</v>
      </c>
      <c r="G20" s="17" t="n">
        <v>3504.67</v>
      </c>
      <c r="H20" s="27" t="n">
        <f aca="false">G20/$G$18</f>
        <v>1.1925838460282</v>
      </c>
      <c r="I20" s="21" t="s">
        <v>80</v>
      </c>
      <c r="J20" s="30" t="n">
        <f aca="false">(B19-B20)/(G20-G19)</f>
        <v>219.121937664984</v>
      </c>
      <c r="K20" s="7" t="s">
        <v>69</v>
      </c>
    </row>
    <row r="21" customFormat="false" ht="15" hidden="false" customHeight="true" outlineLevel="0" collapsed="false">
      <c r="A21" s="19" t="n">
        <v>256</v>
      </c>
      <c r="B21" s="12" t="n">
        <v>1164161</v>
      </c>
      <c r="C21" s="20" t="n">
        <f aca="false">ROUNDUP(B21/8,0)</f>
        <v>145521</v>
      </c>
      <c r="D21" s="14" t="n">
        <f aca="false">$B$3/C21</f>
        <v>6.87186041877117</v>
      </c>
      <c r="E21" s="15" t="n">
        <f aca="false">C21/$B$3</f>
        <v>0.145521</v>
      </c>
      <c r="F21" s="28" t="n">
        <f aca="false">B21/$B$4</f>
        <v>1.16910866788248</v>
      </c>
      <c r="G21" s="17" t="n">
        <v>6381.51</v>
      </c>
      <c r="H21" s="27" t="n">
        <f aca="false">G21/$G$18</f>
        <v>2.17152705940001</v>
      </c>
      <c r="I21" s="21" t="s">
        <v>80</v>
      </c>
      <c r="J21" s="30" t="n">
        <f aca="false">(B20-B21)/(G21-G20)</f>
        <v>31.5227819412967</v>
      </c>
      <c r="K21" s="7" t="s">
        <v>69</v>
      </c>
    </row>
    <row r="22" customFormat="false" ht="15" hidden="false" customHeight="true" outlineLevel="0" collapsed="false">
      <c r="A22" s="19" t="n">
        <v>512</v>
      </c>
      <c r="B22" s="12" t="n">
        <v>1138347</v>
      </c>
      <c r="C22" s="20" t="n">
        <f aca="false">ROUNDUP(B22/8,0)</f>
        <v>142294</v>
      </c>
      <c r="D22" s="14" t="n">
        <f aca="false">$B$3/C22</f>
        <v>7.0277032060382</v>
      </c>
      <c r="E22" s="15" t="n">
        <f aca="false">C22/$B$3</f>
        <v>0.142294</v>
      </c>
      <c r="F22" s="28" t="n">
        <f aca="false">B22/$B$4</f>
        <v>1.14318495874541</v>
      </c>
      <c r="G22" s="17" t="n">
        <v>14486.5</v>
      </c>
      <c r="H22" s="27" t="n">
        <f aca="false">G22/$G$18</f>
        <v>4.92952714106822</v>
      </c>
      <c r="I22" s="21" t="s">
        <v>80</v>
      </c>
      <c r="J22" s="30" t="n">
        <f aca="false">(B21-B22)/(G22-G21)</f>
        <v>3.18495149284577</v>
      </c>
      <c r="K22" s="7" t="s">
        <v>69</v>
      </c>
    </row>
    <row r="23" customFormat="false" ht="30" hidden="false" customHeight="true" outlineLevel="0" collapsed="false">
      <c r="A23" s="25" t="s">
        <v>112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5" customFormat="false" ht="15" hidden="false" customHeight="true" outlineLevel="0" collapsed="false">
      <c r="A25" s="22" t="s">
        <v>113</v>
      </c>
    </row>
    <row r="26" customFormat="false" ht="43.5" hidden="false" customHeight="true" outlineLevel="0" collapsed="false">
      <c r="A26" s="6" t="s">
        <v>53</v>
      </c>
      <c r="B26" s="6" t="s">
        <v>114</v>
      </c>
      <c r="C26" s="6" t="s">
        <v>115</v>
      </c>
      <c r="D26" s="6" t="s">
        <v>116</v>
      </c>
      <c r="E26" s="6" t="s">
        <v>117</v>
      </c>
      <c r="F26" s="6" t="s">
        <v>118</v>
      </c>
      <c r="G26" s="6" t="s">
        <v>119</v>
      </c>
    </row>
    <row r="27" customFormat="false" ht="15" hidden="false" customHeight="true" outlineLevel="0" collapsed="false">
      <c r="A27" s="7" t="n">
        <f aca="false">A8</f>
        <v>32</v>
      </c>
      <c r="B27" s="14" t="n">
        <f aca="false">C8</f>
        <v>3.41265480655366</v>
      </c>
      <c r="C27" s="14" t="n">
        <f aca="false">D18</f>
        <v>5.3516001284384</v>
      </c>
      <c r="D27" s="27" t="n">
        <f aca="false">C27/B27</f>
        <v>1.56816333083592</v>
      </c>
      <c r="E27" s="31" t="n">
        <f aca="false">F8</f>
        <v>61.62886</v>
      </c>
      <c r="F27" s="31" t="n">
        <f aca="false">G18</f>
        <v>2938.72</v>
      </c>
      <c r="G27" s="32" t="n">
        <f aca="false">F27/E27</f>
        <v>47.6841531710955</v>
      </c>
    </row>
    <row r="28" customFormat="false" ht="15" hidden="false" customHeight="true" outlineLevel="0" collapsed="false">
      <c r="A28" s="7" t="n">
        <f aca="false">A9</f>
        <v>64</v>
      </c>
      <c r="B28" s="14" t="n">
        <f aca="false">C9</f>
        <v>3.78630116239446</v>
      </c>
      <c r="C28" s="14" t="n">
        <f aca="false">D19</f>
        <v>5.92820938435546</v>
      </c>
      <c r="D28" s="27" t="n">
        <f aca="false">C28/B28</f>
        <v>1.56569938050212</v>
      </c>
      <c r="E28" s="31" t="n">
        <f aca="false">F9</f>
        <v>67.17076</v>
      </c>
      <c r="F28" s="31" t="n">
        <f aca="false">G19</f>
        <v>3072.81</v>
      </c>
      <c r="G28" s="32" t="n">
        <f aca="false">F28/E28</f>
        <v>45.7462443479871</v>
      </c>
    </row>
    <row r="29" customFormat="false" ht="15" hidden="false" customHeight="true" outlineLevel="0" collapsed="false">
      <c r="A29" s="7" t="n">
        <f aca="false">A10</f>
        <v>128</v>
      </c>
      <c r="B29" s="14" t="n">
        <f aca="false">C10</f>
        <v>4.15397972027101</v>
      </c>
      <c r="C29" s="14" t="n">
        <f aca="false">D20</f>
        <v>6.37527413678788</v>
      </c>
      <c r="D29" s="27" t="n">
        <f aca="false">C29/B29</f>
        <v>1.53473886877136</v>
      </c>
      <c r="E29" s="31" t="n">
        <f aca="false">F10</f>
        <v>82.953516</v>
      </c>
      <c r="F29" s="31" t="n">
        <f aca="false">G20</f>
        <v>3504.67</v>
      </c>
      <c r="G29" s="32" t="n">
        <f aca="false">F29/E29</f>
        <v>42.2486010116798</v>
      </c>
    </row>
    <row r="30" customFormat="false" ht="15" hidden="false" customHeight="true" outlineLevel="0" collapsed="false">
      <c r="A30" s="7" t="n">
        <f aca="false">A11</f>
        <v>256</v>
      </c>
      <c r="B30" s="14" t="n">
        <f aca="false">C11</f>
        <v>4.49418003685228</v>
      </c>
      <c r="C30" s="14" t="n">
        <f aca="false">D21</f>
        <v>6.87186041877117</v>
      </c>
      <c r="D30" s="27" t="n">
        <f aca="false">C30/B30</f>
        <v>1.52905766178077</v>
      </c>
      <c r="E30" s="31" t="n">
        <f aca="false">F11</f>
        <v>114.332818</v>
      </c>
      <c r="F30" s="31" t="n">
        <f aca="false">G21</f>
        <v>6381.51</v>
      </c>
      <c r="G30" s="32" t="n">
        <f aca="false">F30/E30</f>
        <v>55.8152078434733</v>
      </c>
    </row>
    <row r="31" customFormat="false" ht="15" hidden="false" customHeight="true" outlineLevel="0" collapsed="false">
      <c r="A31" s="7" t="n">
        <f aca="false">A12</f>
        <v>512</v>
      </c>
      <c r="B31" s="14" t="n">
        <f aca="false">C12</f>
        <v>4.79110770410119</v>
      </c>
      <c r="C31" s="14" t="n">
        <f aca="false">D22</f>
        <v>7.0277032060382</v>
      </c>
      <c r="D31" s="27" t="n">
        <f aca="false">C31/B31</f>
        <v>1.46682221316429</v>
      </c>
      <c r="E31" s="31" t="n">
        <f aca="false">F12</f>
        <v>178.817302</v>
      </c>
      <c r="F31" s="31" t="n">
        <f aca="false">G22</f>
        <v>14486.5</v>
      </c>
      <c r="G31" s="32" t="n">
        <f aca="false">F31/E31</f>
        <v>81.0128541140834</v>
      </c>
    </row>
    <row r="32" customFormat="false" ht="30" hidden="false" customHeight="true" outlineLevel="0" collapsed="false">
      <c r="A32" s="25" t="s">
        <v>120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</row>
  </sheetData>
  <mergeCells count="4">
    <mergeCell ref="A13:M13"/>
    <mergeCell ref="A14:M14"/>
    <mergeCell ref="A23:K23"/>
    <mergeCell ref="A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L26" activeCellId="0" sqref="L2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22"/>
    <col collapsed="false" customWidth="true" hidden="false" outlineLevel="0" max="3" min="3" style="1" width="15"/>
    <col collapsed="false" customWidth="true" hidden="false" outlineLevel="0" max="5" min="4" style="1" width="17"/>
    <col collapsed="false" customWidth="true" hidden="false" outlineLevel="0" max="7" min="6" style="1" width="13"/>
    <col collapsed="false" customWidth="true" hidden="false" outlineLevel="0" max="8" min="8" style="1" width="16"/>
    <col collapsed="false" customWidth="true" hidden="false" outlineLevel="0" max="12" min="9" style="1" width="13"/>
    <col collapsed="false" customWidth="true" hidden="false" outlineLevel="0" max="13" min="13" style="1" width="12"/>
    <col collapsed="false" customWidth="true" hidden="false" outlineLevel="0" max="14" min="14" style="1" width="9"/>
  </cols>
  <sheetData>
    <row r="1" customFormat="false" ht="18" hidden="false" customHeight="true" outlineLevel="0" collapsed="false">
      <c r="A1" s="2" t="s">
        <v>121</v>
      </c>
    </row>
    <row r="2" customFormat="false" ht="15" hidden="false" customHeight="true" outlineLevel="0" collapsed="false">
      <c r="A2" s="3" t="s">
        <v>122</v>
      </c>
    </row>
    <row r="3" customFormat="false" ht="15" hidden="false" customHeight="true" outlineLevel="0" collapsed="false">
      <c r="A3" s="23" t="s">
        <v>93</v>
      </c>
      <c r="B3" s="26" t="n">
        <f aca="false">GD2_Baseline!B3</f>
        <v>1000000</v>
      </c>
    </row>
    <row r="4" customFormat="false" ht="15" hidden="false" customHeight="true" outlineLevel="0" collapsed="false">
      <c r="A4" s="23" t="s">
        <v>94</v>
      </c>
      <c r="B4" s="26" t="n">
        <f aca="false">GD2_Baseline!B4</f>
        <v>995768</v>
      </c>
    </row>
    <row r="5" customFormat="false" ht="25.5" hidden="false" customHeight="true" outlineLevel="0" collapsed="false">
      <c r="A5" s="23" t="s">
        <v>123</v>
      </c>
      <c r="B5" s="12" t="n">
        <v>811008</v>
      </c>
    </row>
    <row r="6" customFormat="false" ht="15" hidden="false" customHeight="true" outlineLevel="0" collapsed="false">
      <c r="A6" s="23" t="s">
        <v>124</v>
      </c>
      <c r="B6" s="33" t="n">
        <v>2</v>
      </c>
    </row>
    <row r="7" customFormat="false" ht="15" hidden="false" customHeight="true" outlineLevel="0" collapsed="false">
      <c r="A7" s="23" t="s">
        <v>125</v>
      </c>
      <c r="B7" s="33" t="n">
        <v>4</v>
      </c>
    </row>
    <row r="8" customFormat="false" ht="25.5" hidden="false" customHeight="true" outlineLevel="0" collapsed="false">
      <c r="A8" s="23" t="s">
        <v>126</v>
      </c>
      <c r="B8" s="34" t="n">
        <v>3253104</v>
      </c>
    </row>
    <row r="9" customFormat="false" ht="25.5" hidden="false" customHeight="true" outlineLevel="0" collapsed="false">
      <c r="A9" s="23" t="s">
        <v>127</v>
      </c>
      <c r="B9" s="20" t="n">
        <f aca="false">IF(ISNUMBER(B8),B8,B5*B6)</f>
        <v>3253104</v>
      </c>
    </row>
    <row r="10" customFormat="false" ht="15" hidden="false" customHeight="true" outlineLevel="0" collapsed="false">
      <c r="A10" s="23" t="s">
        <v>128</v>
      </c>
      <c r="B10" s="20" t="n">
        <f aca="false">B5*B7</f>
        <v>3244032</v>
      </c>
    </row>
    <row r="12" customFormat="false" ht="15" hidden="false" customHeight="true" outlineLevel="0" collapsed="false">
      <c r="A12" s="22" t="s">
        <v>129</v>
      </c>
    </row>
    <row r="13" customFormat="false" ht="43.5" hidden="false" customHeight="true" outlineLevel="0" collapsed="false">
      <c r="A13" s="6" t="s">
        <v>53</v>
      </c>
      <c r="B13" s="6" t="s">
        <v>130</v>
      </c>
      <c r="C13" s="6" t="s">
        <v>131</v>
      </c>
      <c r="D13" s="6" t="s">
        <v>132</v>
      </c>
      <c r="E13" s="6" t="s">
        <v>133</v>
      </c>
      <c r="F13" s="6" t="s">
        <v>134</v>
      </c>
      <c r="G13" s="6" t="s">
        <v>135</v>
      </c>
      <c r="H13" s="6" t="s">
        <v>136</v>
      </c>
      <c r="I13" s="6" t="s">
        <v>137</v>
      </c>
      <c r="J13" s="6" t="s">
        <v>138</v>
      </c>
      <c r="K13" s="6" t="s">
        <v>139</v>
      </c>
      <c r="L13" s="6" t="s">
        <v>140</v>
      </c>
      <c r="M13" s="6" t="s">
        <v>141</v>
      </c>
      <c r="N13" s="6" t="s">
        <v>63</v>
      </c>
    </row>
    <row r="14" customFormat="false" ht="15" hidden="false" customHeight="true" outlineLevel="0" collapsed="false">
      <c r="A14" s="19" t="n">
        <v>128</v>
      </c>
      <c r="B14" s="26" t="n">
        <f aca="false">GD3_FixedContext!B20</f>
        <v>1254847</v>
      </c>
      <c r="C14" s="12" t="n">
        <v>1201663</v>
      </c>
      <c r="D14" s="20" t="n">
        <f aca="false">ROUNDUP(B14/8,0)</f>
        <v>156856</v>
      </c>
      <c r="E14" s="20" t="n">
        <f aca="false">ROUNDUP(C14/8,0)</f>
        <v>150208</v>
      </c>
      <c r="F14" s="14" t="n">
        <f aca="false">$B$3/D14</f>
        <v>6.37527413678788</v>
      </c>
      <c r="G14" s="14" t="n">
        <f aca="false">$B$3/E14</f>
        <v>6.65743502343417</v>
      </c>
      <c r="H14" s="15" t="n">
        <f aca="false">1-E14/D14</f>
        <v>0.0423828224613658</v>
      </c>
      <c r="I14" s="28" t="n">
        <f aca="false">B14/$B$4</f>
        <v>1.26018008210748</v>
      </c>
      <c r="J14" s="28" t="n">
        <f aca="false">C14/$B$4</f>
        <v>1.20677005085522</v>
      </c>
      <c r="K14" s="29" t="n">
        <f aca="false">GD3_FixedContext!G20</f>
        <v>3504.67</v>
      </c>
      <c r="L14" s="17" t="n">
        <v>4973.229436</v>
      </c>
      <c r="M14" s="18" t="n">
        <f aca="false">L14/K14-1</f>
        <v>0.419029305469559</v>
      </c>
      <c r="N14" s="7" t="s">
        <v>69</v>
      </c>
    </row>
    <row r="15" customFormat="false" ht="15" hidden="false" customHeight="true" outlineLevel="0" collapsed="false">
      <c r="A15" s="19" t="n">
        <v>512</v>
      </c>
      <c r="B15" s="26" t="n">
        <f aca="false">GD3_FixedContext!B22</f>
        <v>1138347</v>
      </c>
      <c r="C15" s="12" t="n">
        <v>1086476</v>
      </c>
      <c r="D15" s="20" t="n">
        <f aca="false">ROUNDUP(B15/8,0)</f>
        <v>142294</v>
      </c>
      <c r="E15" s="20" t="n">
        <f aca="false">ROUNDUP(C15/8,0)</f>
        <v>135810</v>
      </c>
      <c r="F15" s="14" t="n">
        <f aca="false">$B$3/D15</f>
        <v>7.0277032060382</v>
      </c>
      <c r="G15" s="14" t="n">
        <f aca="false">$B$3/E15</f>
        <v>7.36322803917237</v>
      </c>
      <c r="H15" s="15" t="n">
        <f aca="false">1-E15/D15</f>
        <v>0.0455676275879517</v>
      </c>
      <c r="I15" s="28" t="n">
        <f aca="false">B15/$B$4</f>
        <v>1.14318495874541</v>
      </c>
      <c r="J15" s="28" t="n">
        <f aca="false">C15/$B$4</f>
        <v>1.09109350772469</v>
      </c>
      <c r="K15" s="29" t="n">
        <f aca="false">GD3_FixedContext!G22</f>
        <v>14486.5</v>
      </c>
      <c r="L15" s="17" t="n">
        <v>16030.614694</v>
      </c>
      <c r="M15" s="18" t="n">
        <f aca="false">L15/K15-1</f>
        <v>0.106589907431057</v>
      </c>
      <c r="N15" s="7" t="s">
        <v>69</v>
      </c>
    </row>
    <row r="16" customFormat="false" ht="30" hidden="false" customHeight="true" outlineLevel="0" collapsed="false">
      <c r="A16" s="25" t="s">
        <v>142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customFormat="false" ht="30" hidden="false" customHeight="true" outlineLevel="0" collapsed="false">
      <c r="A17" s="25" t="s">
        <v>143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9" customFormat="false" ht="15" hidden="false" customHeight="true" outlineLevel="0" collapsed="false">
      <c r="A19" s="22" t="s">
        <v>144</v>
      </c>
    </row>
    <row r="20" customFormat="false" ht="43.5" hidden="false" customHeight="true" outlineLevel="0" collapsed="false">
      <c r="A20" s="6" t="s">
        <v>53</v>
      </c>
      <c r="B20" s="6" t="s">
        <v>145</v>
      </c>
      <c r="C20" s="6" t="s">
        <v>146</v>
      </c>
      <c r="D20" s="6" t="s">
        <v>147</v>
      </c>
      <c r="E20" s="6" t="s">
        <v>148</v>
      </c>
      <c r="F20" s="6" t="s">
        <v>149</v>
      </c>
      <c r="G20" s="6" t="s">
        <v>150</v>
      </c>
      <c r="H20" s="6" t="s">
        <v>151</v>
      </c>
    </row>
    <row r="21" customFormat="false" ht="15" hidden="false" customHeight="true" outlineLevel="0" collapsed="false">
      <c r="A21" s="7" t="n">
        <f aca="false">A14</f>
        <v>128</v>
      </c>
      <c r="B21" s="20" t="n">
        <f aca="false">E14</f>
        <v>150208</v>
      </c>
      <c r="C21" s="20" t="n">
        <f aca="false">B21+$B$9</f>
        <v>3403312</v>
      </c>
      <c r="D21" s="14" t="n">
        <f aca="false">$B$3/C21</f>
        <v>0.293831420686672</v>
      </c>
      <c r="E21" s="26" t="n">
        <f aca="false">GD2_Baseline!$G$9</f>
        <v>281323</v>
      </c>
      <c r="F21" s="7" t="str">
        <f aca="false">IF(C21&lt;E21,"Tốt hơn","Kém hơn")</f>
        <v>Kém hơn</v>
      </c>
      <c r="G21" s="20" t="n">
        <f aca="false">D14-E14</f>
        <v>6648</v>
      </c>
      <c r="H21" s="20" t="n">
        <f aca="false">$B$9/G21*$B$3/1000000</f>
        <v>489.335740072202</v>
      </c>
    </row>
    <row r="22" customFormat="false" ht="15" hidden="false" customHeight="true" outlineLevel="0" collapsed="false">
      <c r="A22" s="7" t="n">
        <f aca="false">A15</f>
        <v>512</v>
      </c>
      <c r="B22" s="20" t="n">
        <f aca="false">E15</f>
        <v>135810</v>
      </c>
      <c r="C22" s="20" t="n">
        <f aca="false">B22+$B$9</f>
        <v>3388914</v>
      </c>
      <c r="D22" s="14" t="n">
        <f aca="false">$B$3/C22</f>
        <v>0.295079780720313</v>
      </c>
      <c r="E22" s="26" t="n">
        <f aca="false">GD2_Baseline!$G$9</f>
        <v>281323</v>
      </c>
      <c r="F22" s="7" t="str">
        <f aca="false">IF(C22&lt;E22,"Tốt hơn","Kém hơn")</f>
        <v>Kém hơn</v>
      </c>
      <c r="G22" s="20" t="n">
        <f aca="false">D15-E15</f>
        <v>6484</v>
      </c>
      <c r="H22" s="20" t="n">
        <f aca="false">$B$9/G22*$B$3/1000000</f>
        <v>501.712523133868</v>
      </c>
    </row>
    <row r="23" customFormat="false" ht="30" hidden="false" customHeight="true" outlineLevel="0" collapsed="false">
      <c r="A23" s="25" t="s">
        <v>152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5" customFormat="false" ht="15" hidden="false" customHeight="true" outlineLevel="0" collapsed="false">
      <c r="A25" s="22" t="s">
        <v>153</v>
      </c>
    </row>
    <row r="26" customFormat="false" ht="43.5" hidden="false" customHeight="true" outlineLevel="0" collapsed="false">
      <c r="A26" s="6" t="s">
        <v>154</v>
      </c>
      <c r="B26" s="6" t="s">
        <v>155</v>
      </c>
      <c r="C26" s="6" t="s">
        <v>156</v>
      </c>
      <c r="D26" s="6" t="s">
        <v>157</v>
      </c>
      <c r="E26" s="6" t="s">
        <v>158</v>
      </c>
      <c r="F26" s="6" t="s">
        <v>159</v>
      </c>
      <c r="G26" s="6" t="s">
        <v>160</v>
      </c>
      <c r="H26" s="6" t="s">
        <v>161</v>
      </c>
      <c r="I26" s="6" t="s">
        <v>65</v>
      </c>
    </row>
    <row r="27" customFormat="false" ht="42" hidden="false" customHeight="true" outlineLevel="0" collapsed="false">
      <c r="A27" s="23" t="s">
        <v>162</v>
      </c>
      <c r="B27" s="8" t="s">
        <v>163</v>
      </c>
      <c r="C27" s="35" t="n">
        <v>3.05745534896851</v>
      </c>
      <c r="D27" s="35" t="n">
        <v>2.97336201667786</v>
      </c>
      <c r="E27" s="15" t="n">
        <f aca="false">D27/C27-1</f>
        <v>-0.0275043533567941</v>
      </c>
      <c r="F27" s="36" t="n">
        <v>21.2733549637829</v>
      </c>
      <c r="G27" s="36" t="n">
        <v>19.557562038459</v>
      </c>
      <c r="H27" s="18" t="n">
        <f aca="false">G27/F27-1</f>
        <v>-0.0806545525256818</v>
      </c>
      <c r="I27" s="8" t="s">
        <v>164</v>
      </c>
    </row>
    <row r="28" customFormat="false" ht="42" hidden="false" customHeight="true" outlineLevel="0" collapsed="false">
      <c r="A28" s="23" t="s">
        <v>165</v>
      </c>
      <c r="B28" s="8" t="s">
        <v>166</v>
      </c>
      <c r="C28" s="35" t="n">
        <v>3.16347914934158</v>
      </c>
      <c r="D28" s="35" t="n">
        <v>3.08502568304539</v>
      </c>
      <c r="E28" s="15" t="n">
        <f aca="false">D28/C28-1</f>
        <v>-0.0247997418641178</v>
      </c>
      <c r="F28" s="36" t="n">
        <v>23.6527423858643</v>
      </c>
      <c r="G28" s="36" t="n">
        <v>21.8680305480957</v>
      </c>
      <c r="H28" s="18" t="n">
        <f aca="false">G28/F28-1</f>
        <v>-0.0754547531382749</v>
      </c>
      <c r="I28" s="8" t="s">
        <v>167</v>
      </c>
    </row>
    <row r="31" customFormat="false" ht="15" hidden="false" customHeight="true" outlineLevel="0" collapsed="false">
      <c r="A31" s="22" t="s">
        <v>168</v>
      </c>
    </row>
    <row r="32" customFormat="false" ht="15" hidden="false" customHeight="true" outlineLevel="0" collapsed="false">
      <c r="A32" s="23" t="s">
        <v>169</v>
      </c>
      <c r="B32" s="13" t="s">
        <v>170</v>
      </c>
      <c r="C32" s="13"/>
      <c r="D32" s="13"/>
    </row>
    <row r="33" customFormat="false" ht="15" hidden="false" customHeight="true" outlineLevel="0" collapsed="false">
      <c r="A33" s="23" t="s">
        <v>171</v>
      </c>
      <c r="B33" s="13" t="s">
        <v>172</v>
      </c>
      <c r="C33" s="13"/>
      <c r="D33" s="13"/>
    </row>
    <row r="34" customFormat="false" ht="15" hidden="false" customHeight="true" outlineLevel="0" collapsed="false">
      <c r="A34" s="23" t="s">
        <v>173</v>
      </c>
      <c r="B34" s="13" t="s">
        <v>174</v>
      </c>
      <c r="C34" s="13"/>
      <c r="D34" s="13"/>
    </row>
    <row r="35" customFormat="false" ht="15" hidden="false" customHeight="true" outlineLevel="0" collapsed="false">
      <c r="A35" s="23" t="s">
        <v>175</v>
      </c>
      <c r="B35" s="17" t="n">
        <v>48.6143009662628</v>
      </c>
    </row>
    <row r="36" customFormat="false" ht="15" hidden="false" customHeight="true" outlineLevel="0" collapsed="false">
      <c r="A36" s="23" t="s">
        <v>176</v>
      </c>
      <c r="B36" s="17" t="n">
        <v>2749.2373046875</v>
      </c>
    </row>
    <row r="37" customFormat="false" ht="15" hidden="false" customHeight="true" outlineLevel="0" collapsed="false">
      <c r="A37" s="23" t="s">
        <v>177</v>
      </c>
      <c r="B37" s="17" t="n">
        <v>3024</v>
      </c>
    </row>
    <row r="38" customFormat="false" ht="15" hidden="false" customHeight="true" outlineLevel="0" collapsed="false">
      <c r="A38" s="23" t="s">
        <v>178</v>
      </c>
      <c r="B38" s="13" t="s">
        <v>179</v>
      </c>
      <c r="C38" s="13"/>
      <c r="D38" s="13"/>
    </row>
  </sheetData>
  <mergeCells count="7">
    <mergeCell ref="A16:N16"/>
    <mergeCell ref="A17:N17"/>
    <mergeCell ref="A23:N23"/>
    <mergeCell ref="B32:D32"/>
    <mergeCell ref="B33:D33"/>
    <mergeCell ref="B34:D34"/>
    <mergeCell ref="B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F9" activeCellId="0" sqref="F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22"/>
    <col collapsed="false" customWidth="true" hidden="false" outlineLevel="0" max="4" min="4" style="1" width="46"/>
    <col collapsed="false" customWidth="true" hidden="false" outlineLevel="0" max="5" min="5" style="1" width="26"/>
    <col collapsed="false" customWidth="true" hidden="false" outlineLevel="0" max="6" min="6" style="1" width="56"/>
  </cols>
  <sheetData>
    <row r="1" customFormat="false" ht="18" hidden="false" customHeight="true" outlineLevel="0" collapsed="false">
      <c r="A1" s="2" t="s">
        <v>2</v>
      </c>
    </row>
    <row r="2" customFormat="false" ht="15" hidden="false" customHeight="true" outlineLevel="0" collapsed="false">
      <c r="A2" s="3" t="s">
        <v>180</v>
      </c>
    </row>
    <row r="3" customFormat="false" ht="43.5" hidden="false" customHeight="true" outlineLevel="0" collapsed="false">
      <c r="A3" s="6" t="s">
        <v>4</v>
      </c>
      <c r="B3" s="6" t="s">
        <v>181</v>
      </c>
      <c r="C3" s="6" t="s">
        <v>182</v>
      </c>
      <c r="D3" s="6" t="s">
        <v>183</v>
      </c>
      <c r="E3" s="6" t="s">
        <v>184</v>
      </c>
      <c r="F3" s="6" t="s">
        <v>185</v>
      </c>
    </row>
    <row r="4" customFormat="false" ht="61.5" hidden="false" customHeight="true" outlineLevel="0" collapsed="false">
      <c r="A4" s="7" t="n">
        <v>1</v>
      </c>
      <c r="B4" s="8" t="s">
        <v>186</v>
      </c>
      <c r="C4" s="8" t="s">
        <v>187</v>
      </c>
      <c r="D4" s="8" t="s">
        <v>188</v>
      </c>
      <c r="E4" s="8" t="s">
        <v>189</v>
      </c>
      <c r="F4" s="8" t="s">
        <v>190</v>
      </c>
    </row>
    <row r="5" customFormat="false" ht="61.5" hidden="false" customHeight="true" outlineLevel="0" collapsed="false">
      <c r="A5" s="7" t="n">
        <v>2</v>
      </c>
      <c r="B5" s="8" t="s">
        <v>191</v>
      </c>
      <c r="C5" s="37" t="s">
        <v>192</v>
      </c>
      <c r="D5" s="8" t="s">
        <v>193</v>
      </c>
      <c r="E5" s="8" t="s">
        <v>194</v>
      </c>
      <c r="F5" s="38" t="s">
        <v>195</v>
      </c>
      <c r="G5" s="39" t="s">
        <v>20</v>
      </c>
    </row>
    <row r="6" customFormat="false" ht="61.5" hidden="false" customHeight="true" outlineLevel="0" collapsed="false">
      <c r="A6" s="7" t="n">
        <v>3</v>
      </c>
      <c r="B6" s="8" t="s">
        <v>196</v>
      </c>
      <c r="C6" s="40" t="s">
        <v>197</v>
      </c>
      <c r="D6" s="8" t="s">
        <v>198</v>
      </c>
      <c r="E6" s="8" t="s">
        <v>199</v>
      </c>
      <c r="F6" s="8" t="s">
        <v>200</v>
      </c>
    </row>
    <row r="7" customFormat="false" ht="61.5" hidden="false" customHeight="true" outlineLevel="0" collapsed="false">
      <c r="A7" s="7" t="n">
        <v>4</v>
      </c>
      <c r="B7" s="8" t="s">
        <v>201</v>
      </c>
      <c r="C7" s="8" t="s">
        <v>30</v>
      </c>
      <c r="D7" s="8" t="s">
        <v>202</v>
      </c>
      <c r="E7" s="8" t="s">
        <v>203</v>
      </c>
      <c r="F7" s="8" t="s">
        <v>204</v>
      </c>
    </row>
    <row r="8" customFormat="false" ht="61.5" hidden="false" customHeight="true" outlineLevel="0" collapsed="false">
      <c r="A8" s="7" t="n">
        <v>5</v>
      </c>
      <c r="B8" s="8" t="s">
        <v>205</v>
      </c>
      <c r="C8" s="8" t="s">
        <v>206</v>
      </c>
      <c r="D8" s="8" t="s">
        <v>207</v>
      </c>
      <c r="E8" s="8" t="s">
        <v>208</v>
      </c>
      <c r="F8" s="8" t="s">
        <v>209</v>
      </c>
    </row>
    <row r="9" customFormat="false" ht="61.5" hidden="false" customHeight="true" outlineLevel="0" collapsed="false">
      <c r="A9" s="7" t="n">
        <v>6</v>
      </c>
      <c r="B9" s="8" t="s">
        <v>210</v>
      </c>
      <c r="C9" s="8" t="s">
        <v>211</v>
      </c>
      <c r="D9" s="8" t="s">
        <v>212</v>
      </c>
      <c r="E9" s="8" t="s">
        <v>213</v>
      </c>
      <c r="F9" s="8" t="s">
        <v>214</v>
      </c>
    </row>
    <row r="10" customFormat="false" ht="61.5" hidden="false" customHeight="true" outlineLevel="0" collapsed="false">
      <c r="A10" s="7" t="n">
        <v>7</v>
      </c>
      <c r="B10" s="8" t="s">
        <v>215</v>
      </c>
      <c r="C10" s="41" t="s">
        <v>216</v>
      </c>
      <c r="D10" s="8" t="s">
        <v>217</v>
      </c>
      <c r="E10" s="8" t="s">
        <v>213</v>
      </c>
      <c r="F10" s="8" t="s">
        <v>218</v>
      </c>
    </row>
    <row r="11" customFormat="false" ht="61.5" hidden="false" customHeight="true" outlineLevel="0" collapsed="false">
      <c r="A11" s="7" t="n">
        <v>8</v>
      </c>
      <c r="B11" s="8" t="s">
        <v>219</v>
      </c>
      <c r="C11" s="40" t="s">
        <v>220</v>
      </c>
      <c r="D11" s="8" t="s">
        <v>221</v>
      </c>
      <c r="E11" s="8" t="s">
        <v>190</v>
      </c>
      <c r="F11" s="8" t="s">
        <v>222</v>
      </c>
    </row>
    <row r="12" customFormat="false" ht="61.5" hidden="false" customHeight="true" outlineLevel="0" collapsed="false">
      <c r="A12" s="7" t="n">
        <v>9</v>
      </c>
      <c r="B12" s="8" t="s">
        <v>223</v>
      </c>
      <c r="C12" s="42" t="s">
        <v>224</v>
      </c>
      <c r="D12" s="8" t="s">
        <v>225</v>
      </c>
      <c r="E12" s="8" t="s">
        <v>226</v>
      </c>
      <c r="F12" s="8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24"/>
    <col collapsed="false" customWidth="true" hidden="false" outlineLevel="0" max="14" min="10" style="1" width="8"/>
    <col collapsed="false" customWidth="true" hidden="false" outlineLevel="0" max="18" min="15" style="1" width="14"/>
    <col collapsed="false" customWidth="true" hidden="false" outlineLevel="0" max="19" min="19" style="1" width="50"/>
  </cols>
  <sheetData>
    <row r="1" customFormat="false" ht="17.25" hidden="false" customHeight="true" outlineLevel="0" collapsed="false">
      <c r="A1" s="2" t="s">
        <v>228</v>
      </c>
    </row>
    <row r="2" customFormat="false" ht="15" hidden="false" customHeight="true" outlineLevel="0" collapsed="false">
      <c r="A2" s="3" t="s">
        <v>229</v>
      </c>
    </row>
    <row r="3" customFormat="false" ht="15" hidden="false" customHeight="true" outlineLevel="0" collapsed="false">
      <c r="A3" s="11" t="s">
        <v>230</v>
      </c>
      <c r="B3" s="26" t="n">
        <f aca="false">GD2_Baseline!B5</f>
        <v>286273</v>
      </c>
    </row>
    <row r="4" customFormat="false" ht="15" hidden="false" customHeight="true" outlineLevel="0" collapsed="false">
      <c r="I4" s="43" t="s">
        <v>231</v>
      </c>
      <c r="J4" s="19" t="n">
        <v>32</v>
      </c>
      <c r="K4" s="19" t="n">
        <v>64</v>
      </c>
      <c r="L4" s="19" t="n">
        <v>128</v>
      </c>
      <c r="M4" s="19" t="n">
        <v>256</v>
      </c>
      <c r="N4" s="19" t="n">
        <v>512</v>
      </c>
    </row>
    <row r="5" customFormat="false" ht="15" hidden="false" customHeight="true" outlineLevel="0" collapsed="false">
      <c r="A5" s="22" t="s">
        <v>232</v>
      </c>
    </row>
    <row r="6" customFormat="false" ht="43.5" hidden="false" customHeight="true" outlineLevel="0" collapsed="false">
      <c r="A6" s="6" t="s">
        <v>233</v>
      </c>
      <c r="B6" s="6" t="s">
        <v>234</v>
      </c>
      <c r="C6" s="6" t="s">
        <v>56</v>
      </c>
      <c r="D6" s="6" t="s">
        <v>57</v>
      </c>
      <c r="E6" s="6" t="s">
        <v>235</v>
      </c>
      <c r="F6" s="6" t="s">
        <v>236</v>
      </c>
      <c r="G6" s="6" t="s">
        <v>61</v>
      </c>
      <c r="H6" s="6" t="s">
        <v>237</v>
      </c>
      <c r="I6" s="6" t="s">
        <v>238</v>
      </c>
      <c r="J6" s="6" t="s">
        <v>239</v>
      </c>
      <c r="K6" s="6" t="s">
        <v>240</v>
      </c>
      <c r="L6" s="6" t="s">
        <v>241</v>
      </c>
      <c r="M6" s="6" t="s">
        <v>242</v>
      </c>
      <c r="N6" s="6" t="s">
        <v>243</v>
      </c>
      <c r="O6" s="6" t="s">
        <v>244</v>
      </c>
      <c r="P6" s="6" t="s">
        <v>245</v>
      </c>
      <c r="Q6" s="6" t="s">
        <v>246</v>
      </c>
      <c r="R6" s="6" t="s">
        <v>247</v>
      </c>
      <c r="S6" s="6" t="s">
        <v>65</v>
      </c>
    </row>
    <row r="7" customFormat="false" ht="30" hidden="false" customHeight="true" outlineLevel="0" collapsed="false">
      <c r="A7" s="11" t="s">
        <v>248</v>
      </c>
      <c r="B7" s="7" t="s">
        <v>249</v>
      </c>
      <c r="C7" s="12" t="n">
        <v>216534</v>
      </c>
      <c r="D7" s="44" t="n">
        <f aca="false">GD2_Baseline!$B$3/C7</f>
        <v>4.61821238235104</v>
      </c>
      <c r="E7" s="12" t="n">
        <v>278</v>
      </c>
      <c r="F7" s="17" t="n">
        <v>201.732230264</v>
      </c>
      <c r="G7" s="17" t="n">
        <v>12000.909038617</v>
      </c>
      <c r="H7" s="17" t="n">
        <v>817.92919921875</v>
      </c>
      <c r="I7" s="45" t="s">
        <v>250</v>
      </c>
      <c r="J7" s="12" t="n">
        <v>1</v>
      </c>
      <c r="K7" s="12" t="n">
        <v>17</v>
      </c>
      <c r="L7" s="12" t="n">
        <v>50</v>
      </c>
      <c r="M7" s="12" t="n">
        <v>397</v>
      </c>
      <c r="N7" s="12" t="n">
        <v>346</v>
      </c>
      <c r="O7" s="20" t="n">
        <f aca="false">SUMPRODUCT(J7:N7,$J$4:$N$4^2)</f>
        <v>117609472</v>
      </c>
      <c r="P7" s="46" t="n">
        <f aca="false">O7/SUMPRODUCT(J7:N7,$J$4:$N$4)</f>
        <v>410.785291159048</v>
      </c>
      <c r="Q7" s="13"/>
      <c r="R7" s="13"/>
      <c r="S7" s="8" t="s">
        <v>251</v>
      </c>
    </row>
    <row r="8" customFormat="false" ht="30" hidden="false" customHeight="true" outlineLevel="0" collapsed="false">
      <c r="A8" s="11" t="s">
        <v>252</v>
      </c>
      <c r="B8" s="7" t="s">
        <v>249</v>
      </c>
      <c r="C8" s="12" t="n">
        <v>238128</v>
      </c>
      <c r="D8" s="44" t="n">
        <f aca="false">GD2_Baseline!$B$3/C8</f>
        <v>4.19942215951085</v>
      </c>
      <c r="E8" s="12" t="n">
        <v>602</v>
      </c>
      <c r="F8" s="17" t="n">
        <v>195.814127761</v>
      </c>
      <c r="G8" s="21" t="s">
        <v>80</v>
      </c>
      <c r="H8" s="21" t="s">
        <v>80</v>
      </c>
      <c r="I8" s="47" t="s">
        <v>253</v>
      </c>
      <c r="J8" s="12" t="n">
        <v>39</v>
      </c>
      <c r="K8" s="12" t="n">
        <v>380</v>
      </c>
      <c r="L8" s="12" t="n">
        <v>1401</v>
      </c>
      <c r="M8" s="12" t="n">
        <v>292</v>
      </c>
      <c r="N8" s="12" t="n">
        <v>13</v>
      </c>
      <c r="O8" s="20" t="n">
        <f aca="false">SUMPRODUCT(J8:N8,$J$4:$N$4^2)</f>
        <v>47094784</v>
      </c>
      <c r="P8" s="46" t="n">
        <f aca="false">O8/SUMPRODUCT(J8:N8,$J$4:$N$4)</f>
        <v>164.492232033084</v>
      </c>
      <c r="Q8" s="48" t="n">
        <f aca="false">$P$25*O8/100000</f>
        <v>3810.27160331259</v>
      </c>
      <c r="R8" s="48" t="n">
        <f aca="false">$P$26*O8/100000</f>
        <v>4805.56718235514</v>
      </c>
      <c r="S8" s="8" t="s">
        <v>254</v>
      </c>
    </row>
    <row r="9" customFormat="false" ht="18" hidden="false" customHeight="true" outlineLevel="0" collapsed="false">
      <c r="A9" s="11" t="s">
        <v>255</v>
      </c>
      <c r="B9" s="7" t="s">
        <v>249</v>
      </c>
      <c r="C9" s="12" t="n">
        <v>258127</v>
      </c>
      <c r="D9" s="44" t="n">
        <f aca="false">GD2_Baseline!$B$3/C9</f>
        <v>3.87406199274001</v>
      </c>
      <c r="E9" s="12" t="n">
        <v>1001</v>
      </c>
      <c r="F9" s="17" t="n">
        <v>200.777248757</v>
      </c>
      <c r="G9" s="21" t="s">
        <v>80</v>
      </c>
      <c r="H9" s="21" t="s">
        <v>80</v>
      </c>
      <c r="I9" s="47" t="s">
        <v>253</v>
      </c>
      <c r="J9" s="12" t="n">
        <v>563</v>
      </c>
      <c r="K9" s="12" t="n">
        <v>2694</v>
      </c>
      <c r="L9" s="12" t="n">
        <v>703</v>
      </c>
      <c r="M9" s="12" t="n">
        <v>23</v>
      </c>
      <c r="N9" s="12" t="n">
        <v>0</v>
      </c>
      <c r="O9" s="20" t="n">
        <f aca="false">SUMPRODUCT(J9:N9,$J$4:$N$4^2)</f>
        <v>24636416</v>
      </c>
      <c r="P9" s="46" t="n">
        <f aca="false">O9/SUMPRODUCT(J9:N9,$J$4:$N$4)</f>
        <v>86.049849111434</v>
      </c>
      <c r="Q9" s="48" t="n">
        <f aca="false">$P$25*O9/100000</f>
        <v>1993.24486321449</v>
      </c>
      <c r="R9" s="48" t="n">
        <f aca="false">$P$26*O9/100000</f>
        <v>2513.90795678029</v>
      </c>
      <c r="S9" s="8"/>
    </row>
    <row r="10" customFormat="false" ht="18" hidden="false" customHeight="true" outlineLevel="0" collapsed="false">
      <c r="A10" s="11" t="s">
        <v>256</v>
      </c>
      <c r="B10" s="7" t="s">
        <v>249</v>
      </c>
      <c r="C10" s="12" t="n">
        <v>288012</v>
      </c>
      <c r="D10" s="44" t="n">
        <f aca="false">GD2_Baseline!$B$3/C10</f>
        <v>3.47207755232421</v>
      </c>
      <c r="E10" s="12" t="n">
        <v>1193</v>
      </c>
      <c r="F10" s="17" t="n">
        <v>201.605963877</v>
      </c>
      <c r="G10" s="21" t="s">
        <v>80</v>
      </c>
      <c r="H10" s="21" t="s">
        <v>80</v>
      </c>
      <c r="I10" s="47" t="s">
        <v>253</v>
      </c>
      <c r="J10" s="12" t="n">
        <v>6735</v>
      </c>
      <c r="K10" s="12" t="n">
        <v>1100</v>
      </c>
      <c r="L10" s="12" t="n">
        <v>3</v>
      </c>
      <c r="M10" s="12" t="n">
        <v>0</v>
      </c>
      <c r="N10" s="12" t="n">
        <v>0</v>
      </c>
      <c r="O10" s="20" t="n">
        <f aca="false">SUMPRODUCT(J10:N10,$J$4:$N$4^2)</f>
        <v>11451392</v>
      </c>
      <c r="P10" s="46" t="n">
        <f aca="false">O10/SUMPRODUCT(J10:N10,$J$4:$N$4)</f>
        <v>39.9973175366045</v>
      </c>
      <c r="Q10" s="48" t="n">
        <f aca="false">$P$25*O10/100000</f>
        <v>926.491429624158</v>
      </c>
      <c r="R10" s="48" t="n">
        <f aca="false">$P$26*O10/100000</f>
        <v>1168.50378987797</v>
      </c>
      <c r="S10" s="8"/>
    </row>
    <row r="11" customFormat="false" ht="30" hidden="false" customHeight="true" outlineLevel="0" collapsed="false">
      <c r="A11" s="25" t="s">
        <v>257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</row>
    <row r="13" customFormat="false" ht="15" hidden="false" customHeight="true" outlineLevel="0" collapsed="false">
      <c r="A13" s="22" t="s">
        <v>258</v>
      </c>
    </row>
    <row r="14" customFormat="false" ht="43.5" hidden="false" customHeight="true" outlineLevel="0" collapsed="false">
      <c r="A14" s="6" t="s">
        <v>259</v>
      </c>
      <c r="B14" s="6" t="s">
        <v>234</v>
      </c>
      <c r="C14" s="6"/>
      <c r="D14" s="6"/>
      <c r="E14" s="6"/>
      <c r="F14" s="6"/>
      <c r="G14" s="6" t="s">
        <v>61</v>
      </c>
      <c r="H14" s="6" t="s">
        <v>237</v>
      </c>
      <c r="I14" s="6" t="s">
        <v>260</v>
      </c>
      <c r="J14" s="6" t="s">
        <v>239</v>
      </c>
      <c r="K14" s="6" t="s">
        <v>240</v>
      </c>
      <c r="L14" s="6" t="s">
        <v>241</v>
      </c>
      <c r="M14" s="6" t="s">
        <v>242</v>
      </c>
      <c r="N14" s="6" t="s">
        <v>243</v>
      </c>
      <c r="O14" s="6" t="s">
        <v>244</v>
      </c>
      <c r="P14" s="6" t="s">
        <v>261</v>
      </c>
      <c r="Q14" s="6"/>
      <c r="R14" s="6"/>
      <c r="S14" s="6" t="s">
        <v>65</v>
      </c>
    </row>
    <row r="15" customFormat="false" ht="30" hidden="false" customHeight="true" outlineLevel="0" collapsed="false">
      <c r="A15" s="11" t="s">
        <v>248</v>
      </c>
      <c r="B15" s="8" t="s">
        <v>262</v>
      </c>
      <c r="C15" s="13"/>
      <c r="D15" s="13"/>
      <c r="E15" s="13"/>
      <c r="F15" s="13"/>
      <c r="G15" s="17" t="n">
        <v>9414.866075763</v>
      </c>
      <c r="H15" s="17" t="n">
        <v>768.537109375</v>
      </c>
      <c r="I15" s="49" t="s">
        <v>263</v>
      </c>
      <c r="J15" s="12" t="n">
        <v>1</v>
      </c>
      <c r="K15" s="12" t="n">
        <v>17</v>
      </c>
      <c r="L15" s="12" t="n">
        <v>50</v>
      </c>
      <c r="M15" s="12" t="n">
        <v>397</v>
      </c>
      <c r="N15" s="12" t="n">
        <v>346</v>
      </c>
      <c r="O15" s="20" t="n">
        <f aca="false">SUMPRODUCT(J15:N15,$J$4:$N$4^2)</f>
        <v>117609472</v>
      </c>
      <c r="P15" s="50" t="n">
        <f aca="false">G15/O15*100000</f>
        <v>8.00519372773224</v>
      </c>
      <c r="Q15" s="13"/>
      <c r="R15" s="13"/>
      <c r="S15" s="8" t="s">
        <v>264</v>
      </c>
    </row>
    <row r="16" customFormat="false" ht="30" hidden="false" customHeight="true" outlineLevel="0" collapsed="false">
      <c r="A16" s="11" t="s">
        <v>248</v>
      </c>
      <c r="B16" s="8" t="s">
        <v>265</v>
      </c>
      <c r="C16" s="13"/>
      <c r="D16" s="13"/>
      <c r="E16" s="13"/>
      <c r="F16" s="13"/>
      <c r="G16" s="17" t="n">
        <v>9515.364407281</v>
      </c>
      <c r="H16" s="17" t="n">
        <v>767.912109375</v>
      </c>
      <c r="I16" s="45" t="s">
        <v>266</v>
      </c>
      <c r="J16" s="12" t="n">
        <v>1</v>
      </c>
      <c r="K16" s="12" t="n">
        <v>17</v>
      </c>
      <c r="L16" s="12" t="n">
        <v>50</v>
      </c>
      <c r="M16" s="12" t="n">
        <v>397</v>
      </c>
      <c r="N16" s="12" t="n">
        <v>346</v>
      </c>
      <c r="O16" s="20" t="n">
        <f aca="false">SUMPRODUCT(J16:N16,$J$4:$N$4^2)</f>
        <v>117609472</v>
      </c>
      <c r="P16" s="50" t="n">
        <f aca="false">G16/O16*100000</f>
        <v>8.09064461005403</v>
      </c>
      <c r="Q16" s="13"/>
      <c r="R16" s="13"/>
      <c r="S16" s="8" t="s">
        <v>267</v>
      </c>
    </row>
    <row r="17" customFormat="false" ht="30" hidden="false" customHeight="true" outlineLevel="0" collapsed="false">
      <c r="A17" s="11" t="s">
        <v>248</v>
      </c>
      <c r="B17" s="8" t="s">
        <v>268</v>
      </c>
      <c r="C17" s="13"/>
      <c r="D17" s="13"/>
      <c r="E17" s="13"/>
      <c r="F17" s="13"/>
      <c r="G17" s="17" t="n">
        <v>9518.134973539</v>
      </c>
      <c r="H17" s="17" t="n">
        <v>767.912109375</v>
      </c>
      <c r="I17" s="45" t="s">
        <v>266</v>
      </c>
      <c r="J17" s="12" t="n">
        <v>1</v>
      </c>
      <c r="K17" s="12" t="n">
        <v>17</v>
      </c>
      <c r="L17" s="12" t="n">
        <v>50</v>
      </c>
      <c r="M17" s="12" t="n">
        <v>397</v>
      </c>
      <c r="N17" s="12" t="n">
        <v>346</v>
      </c>
      <c r="O17" s="20" t="n">
        <f aca="false">SUMPRODUCT(J17:N17,$J$4:$N$4^2)</f>
        <v>117609472</v>
      </c>
      <c r="P17" s="50" t="n">
        <f aca="false">G17/O17*100000</f>
        <v>8.09300034400205</v>
      </c>
      <c r="Q17" s="13"/>
      <c r="R17" s="13"/>
      <c r="S17" s="8" t="s">
        <v>269</v>
      </c>
    </row>
    <row r="18" customFormat="false" ht="30" hidden="false" customHeight="true" outlineLevel="0" collapsed="false">
      <c r="A18" s="11" t="s">
        <v>248</v>
      </c>
      <c r="B18" s="8" t="s">
        <v>270</v>
      </c>
      <c r="C18" s="13"/>
      <c r="D18" s="13"/>
      <c r="E18" s="13"/>
      <c r="F18" s="13"/>
      <c r="G18" s="17" t="n">
        <v>9523.105505017</v>
      </c>
      <c r="H18" s="17" t="n">
        <v>768.7744140625</v>
      </c>
      <c r="I18" s="45" t="s">
        <v>266</v>
      </c>
      <c r="J18" s="12" t="n">
        <v>1</v>
      </c>
      <c r="K18" s="12" t="n">
        <v>17</v>
      </c>
      <c r="L18" s="12" t="n">
        <v>50</v>
      </c>
      <c r="M18" s="12" t="n">
        <v>397</v>
      </c>
      <c r="N18" s="12" t="n">
        <v>346</v>
      </c>
      <c r="O18" s="20" t="n">
        <f aca="false">SUMPRODUCT(J18:N18,$J$4:$N$4^2)</f>
        <v>117609472</v>
      </c>
      <c r="P18" s="50" t="n">
        <f aca="false">G18/O18*100000</f>
        <v>8.09722664601113</v>
      </c>
      <c r="Q18" s="13"/>
      <c r="R18" s="13"/>
      <c r="S18" s="8" t="s">
        <v>271</v>
      </c>
    </row>
    <row r="19" customFormat="false" ht="30" hidden="false" customHeight="true" outlineLevel="0" collapsed="false">
      <c r="A19" s="11" t="s">
        <v>248</v>
      </c>
      <c r="B19" s="8" t="s">
        <v>272</v>
      </c>
      <c r="C19" s="13"/>
      <c r="D19" s="13"/>
      <c r="E19" s="13"/>
      <c r="F19" s="13"/>
      <c r="G19" s="17" t="n">
        <v>12000.909038617</v>
      </c>
      <c r="H19" s="17" t="n">
        <v>817.92919921875</v>
      </c>
      <c r="I19" s="45" t="s">
        <v>266</v>
      </c>
      <c r="J19" s="12" t="n">
        <v>1</v>
      </c>
      <c r="K19" s="12" t="n">
        <v>17</v>
      </c>
      <c r="L19" s="12" t="n">
        <v>50</v>
      </c>
      <c r="M19" s="12" t="n">
        <v>397</v>
      </c>
      <c r="N19" s="12" t="n">
        <v>346</v>
      </c>
      <c r="O19" s="20" t="n">
        <f aca="false">SUMPRODUCT(J19:N19,$J$4:$N$4^2)</f>
        <v>117609472</v>
      </c>
      <c r="P19" s="50" t="n">
        <f aca="false">G19/O19*100000</f>
        <v>10.2040327488393</v>
      </c>
      <c r="Q19" s="13"/>
      <c r="R19" s="13"/>
      <c r="S19" s="8" t="s">
        <v>273</v>
      </c>
    </row>
    <row r="20" customFormat="false" ht="30" hidden="false" customHeight="true" outlineLevel="0" collapsed="false">
      <c r="A20" s="11" t="s">
        <v>252</v>
      </c>
      <c r="B20" s="8" t="s">
        <v>262</v>
      </c>
      <c r="C20" s="13"/>
      <c r="D20" s="13"/>
      <c r="E20" s="13"/>
      <c r="F20" s="13"/>
      <c r="G20" s="17" t="n">
        <v>4605.530830535</v>
      </c>
      <c r="H20" s="17" t="n">
        <v>777.25634765625</v>
      </c>
      <c r="I20" s="45" t="s">
        <v>266</v>
      </c>
      <c r="J20" s="12" t="n">
        <v>39</v>
      </c>
      <c r="K20" s="12" t="n">
        <v>380</v>
      </c>
      <c r="L20" s="12" t="n">
        <v>1401</v>
      </c>
      <c r="M20" s="12" t="n">
        <v>292</v>
      </c>
      <c r="N20" s="12" t="n">
        <v>13</v>
      </c>
      <c r="O20" s="20" t="n">
        <f aca="false">SUMPRODUCT(J20:N20,$J$4:$N$4^2)</f>
        <v>47094784</v>
      </c>
      <c r="P20" s="50" t="n">
        <f aca="false">G20/O20*100000</f>
        <v>9.77928008022077</v>
      </c>
      <c r="Q20" s="13"/>
      <c r="R20" s="13"/>
      <c r="S20" s="8"/>
    </row>
    <row r="22" customFormat="false" ht="23.25" hidden="false" customHeight="true" outlineLevel="0" collapsed="false">
      <c r="A22" s="23" t="s">
        <v>274</v>
      </c>
      <c r="G22" s="18" t="n">
        <f aca="false">G19/G18-1</f>
        <v>0.260188604683066</v>
      </c>
    </row>
    <row r="23" customFormat="false" ht="23.25" hidden="false" customHeight="true" outlineLevel="0" collapsed="false">
      <c r="A23" s="23" t="s">
        <v>275</v>
      </c>
      <c r="G23" s="31" t="n">
        <f aca="false">H19-H18</f>
        <v>49.15478515625</v>
      </c>
    </row>
    <row r="24" customFormat="false" ht="30" hidden="false" customHeight="true" outlineLevel="0" collapsed="false">
      <c r="A24" s="25" t="s">
        <v>276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</row>
    <row r="25" customFormat="false" ht="15" hidden="false" customHeight="true" outlineLevel="0" collapsed="false">
      <c r="A25" s="23" t="s">
        <v>277</v>
      </c>
      <c r="P25" s="50" t="n">
        <f aca="false">MIN(P16:P20)</f>
        <v>8.09064461005403</v>
      </c>
    </row>
    <row r="26" customFormat="false" ht="15" hidden="false" customHeight="true" outlineLevel="0" collapsed="false">
      <c r="A26" s="23" t="s">
        <v>278</v>
      </c>
      <c r="P26" s="50" t="n">
        <f aca="false">MAX(P16:P20)</f>
        <v>10.2040327488393</v>
      </c>
    </row>
    <row r="28" customFormat="false" ht="15" hidden="false" customHeight="true" outlineLevel="0" collapsed="false">
      <c r="A28" s="22" t="s">
        <v>279</v>
      </c>
    </row>
    <row r="29" customFormat="false" ht="43.5" hidden="false" customHeight="true" outlineLevel="0" collapsed="false">
      <c r="A29" s="6" t="s">
        <v>259</v>
      </c>
      <c r="B29" s="6" t="s">
        <v>280</v>
      </c>
      <c r="C29" s="6" t="s">
        <v>56</v>
      </c>
      <c r="D29" s="6" t="s">
        <v>281</v>
      </c>
      <c r="E29" s="6" t="s">
        <v>282</v>
      </c>
      <c r="F29" s="6" t="s">
        <v>283</v>
      </c>
      <c r="G29" s="6" t="s">
        <v>284</v>
      </c>
      <c r="H29" s="6" t="s">
        <v>285</v>
      </c>
      <c r="I29" s="6" t="s">
        <v>286</v>
      </c>
    </row>
    <row r="30" customFormat="false" ht="15" hidden="false" customHeight="true" outlineLevel="0" collapsed="false">
      <c r="A30" s="11" t="s">
        <v>287</v>
      </c>
      <c r="B30" s="51" t="n">
        <v>0.201930999755859</v>
      </c>
      <c r="C30" s="12" t="n">
        <v>275748</v>
      </c>
      <c r="D30" s="12" t="n">
        <v>126515</v>
      </c>
      <c r="E30" s="18" t="n">
        <f aca="false">D30/$B$3</f>
        <v>0.441938289674541</v>
      </c>
      <c r="F30" s="12" t="n">
        <v>246453</v>
      </c>
      <c r="G30" s="46" t="n">
        <f aca="false">F30*8/D30</f>
        <v>15.5841125558234</v>
      </c>
      <c r="H30" s="20" t="n">
        <f aca="false">C30-$C$7</f>
        <v>59214</v>
      </c>
      <c r="I30" s="18" t="n">
        <f aca="false">C30/$C$7-1</f>
        <v>0.273462828008535</v>
      </c>
    </row>
    <row r="31" customFormat="false" ht="15" hidden="false" customHeight="true" outlineLevel="0" collapsed="false">
      <c r="A31" s="11" t="s">
        <v>288</v>
      </c>
      <c r="B31" s="51" t="n">
        <v>0.151939392089844</v>
      </c>
      <c r="C31" s="12" t="n">
        <v>271367</v>
      </c>
      <c r="D31" s="12" t="n">
        <v>119152</v>
      </c>
      <c r="E31" s="18" t="n">
        <f aca="false">D31/$B$3</f>
        <v>0.416218085533739</v>
      </c>
      <c r="F31" s="12" t="n">
        <v>236358</v>
      </c>
      <c r="G31" s="46" t="n">
        <f aca="false">F31*8/D31</f>
        <v>15.8693433597422</v>
      </c>
      <c r="H31" s="20" t="n">
        <f aca="false">C31-$C$7</f>
        <v>54833</v>
      </c>
      <c r="I31" s="18" t="n">
        <f aca="false">C31/$C$7-1</f>
        <v>0.253230439561455</v>
      </c>
    </row>
    <row r="32" customFormat="false" ht="30" hidden="false" customHeight="true" outlineLevel="0" collapsed="false">
      <c r="A32" s="25" t="s">
        <v>289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4" customFormat="false" ht="33.75" hidden="false" customHeight="true" outlineLevel="0" collapsed="false">
      <c r="A34" s="52" t="s">
        <v>290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</row>
    <row r="35" customFormat="false" ht="43.5" hidden="false" customHeight="true" outlineLevel="0" collapsed="false">
      <c r="A35" s="53"/>
      <c r="B35" s="53"/>
      <c r="C35" s="53"/>
      <c r="D35" s="53"/>
      <c r="E35" s="53"/>
      <c r="F35" s="53"/>
      <c r="G35" s="53"/>
      <c r="H35" s="53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customFormat="false" ht="15" hidden="false" customHeight="true" outlineLevel="0" collapsed="false">
      <c r="A36" s="55"/>
      <c r="B36" s="56"/>
      <c r="C36" s="57"/>
      <c r="D36" s="58"/>
      <c r="E36" s="59"/>
      <c r="F36" s="60"/>
      <c r="G36" s="59"/>
      <c r="H36" s="61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</row>
    <row r="37" customFormat="false" ht="15" hidden="false" customHeight="true" outlineLevel="0" collapsed="false">
      <c r="A37" s="55"/>
      <c r="B37" s="56"/>
      <c r="C37" s="57"/>
      <c r="D37" s="58"/>
      <c r="E37" s="59"/>
      <c r="F37" s="60"/>
      <c r="G37" s="59"/>
      <c r="H37" s="61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</row>
    <row r="38" customFormat="false" ht="15" hidden="false" customHeight="true" outlineLevel="0" collapsed="false">
      <c r="A38" s="55"/>
      <c r="B38" s="56"/>
      <c r="C38" s="57"/>
      <c r="D38" s="58"/>
      <c r="E38" s="59"/>
      <c r="F38" s="60"/>
      <c r="G38" s="59"/>
      <c r="H38" s="61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</row>
    <row r="39" customFormat="false" ht="15" hidden="false" customHeight="true" outlineLevel="0" collapsed="false">
      <c r="A39" s="55"/>
      <c r="B39" s="56"/>
      <c r="C39" s="57"/>
      <c r="D39" s="58"/>
      <c r="E39" s="59"/>
      <c r="F39" s="60"/>
      <c r="G39" s="59"/>
      <c r="H39" s="61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</row>
    <row r="40" customFormat="false" ht="36" hidden="false" customHeight="true" outlineLevel="0" collapsed="false">
      <c r="A40" s="25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</row>
  </sheetData>
  <mergeCells count="4">
    <mergeCell ref="A11:S11"/>
    <mergeCell ref="A24:S24"/>
    <mergeCell ref="A32:S32"/>
    <mergeCell ref="A34:S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62" t="s">
        <v>291</v>
      </c>
    </row>
    <row r="2" customFormat="false" ht="15" hidden="false" customHeight="false" outlineLevel="0" collapsed="false">
      <c r="A2" s="63" t="s">
        <v>292</v>
      </c>
    </row>
    <row r="4" customFormat="false" ht="15" hidden="false" customHeight="false" outlineLevel="0" collapsed="false">
      <c r="A4" s="23" t="s">
        <v>293</v>
      </c>
      <c r="B4" s="64" t="n">
        <v>12000.909038617</v>
      </c>
    </row>
    <row r="5" customFormat="false" ht="15" hidden="false" customHeight="false" outlineLevel="0" collapsed="false">
      <c r="A5" s="23" t="s">
        <v>294</v>
      </c>
      <c r="B5" s="64" t="n">
        <v>9523.105505017</v>
      </c>
    </row>
    <row r="6" customFormat="false" ht="15" hidden="false" customHeight="false" outlineLevel="0" collapsed="false">
      <c r="A6" s="23" t="s">
        <v>295</v>
      </c>
      <c r="B6" s="65" t="n">
        <v>117609472</v>
      </c>
    </row>
    <row r="7" customFormat="false" ht="15" hidden="false" customHeight="false" outlineLevel="0" collapsed="false">
      <c r="A7" s="23" t="s">
        <v>296</v>
      </c>
      <c r="B7" s="66" t="n">
        <f aca="false">B4/B6</f>
        <v>0.000102040327488393</v>
      </c>
    </row>
    <row r="8" customFormat="false" ht="15" hidden="false" customHeight="false" outlineLevel="0" collapsed="false">
      <c r="A8" s="23" t="s">
        <v>297</v>
      </c>
      <c r="B8" s="66" t="n">
        <f aca="false">B5/B6</f>
        <v>8.09722664601113E-005</v>
      </c>
    </row>
    <row r="9" customFormat="false" ht="15" hidden="false" customHeight="false" outlineLevel="0" collapsed="false">
      <c r="A9" s="23" t="s">
        <v>298</v>
      </c>
      <c r="B9" s="65" t="n">
        <v>286304</v>
      </c>
    </row>
    <row r="11" customFormat="false" ht="15" hidden="false" customHeight="false" outlineLevel="0" collapsed="false">
      <c r="A11" s="67" t="s">
        <v>299</v>
      </c>
    </row>
    <row r="12" customFormat="false" ht="48" hidden="false" customHeight="true" outlineLevel="0" collapsed="false">
      <c r="A12" s="6" t="s">
        <v>300</v>
      </c>
      <c r="B12" s="6" t="s">
        <v>301</v>
      </c>
      <c r="C12" s="6" t="s">
        <v>56</v>
      </c>
      <c r="D12" s="6" t="s">
        <v>57</v>
      </c>
      <c r="E12" s="6" t="s">
        <v>235</v>
      </c>
      <c r="F12" s="6" t="s">
        <v>60</v>
      </c>
      <c r="G12" s="6" t="s">
        <v>244</v>
      </c>
      <c r="H12" s="6" t="s">
        <v>302</v>
      </c>
      <c r="I12" s="6" t="s">
        <v>303</v>
      </c>
      <c r="J12" s="6" t="s">
        <v>304</v>
      </c>
      <c r="K12" s="6" t="s">
        <v>305</v>
      </c>
      <c r="L12" s="6" t="s">
        <v>65</v>
      </c>
    </row>
    <row r="13" customFormat="false" ht="15" hidden="false" customHeight="false" outlineLevel="0" collapsed="false">
      <c r="A13" s="68" t="s">
        <v>306</v>
      </c>
      <c r="B13" s="69" t="s">
        <v>307</v>
      </c>
      <c r="C13" s="65" t="n">
        <v>300576</v>
      </c>
      <c r="D13" s="70" t="n">
        <f aca="false">GD2_Baseline!$B$3/C13</f>
        <v>3.32694559778559</v>
      </c>
      <c r="E13" s="65" t="n">
        <v>1194</v>
      </c>
      <c r="F13" s="64" t="n">
        <v>27.9891557690003</v>
      </c>
      <c r="G13" s="65" t="n">
        <v>9161728</v>
      </c>
      <c r="H13" s="71" t="n">
        <f aca="false">G13/$B$9</f>
        <v>32</v>
      </c>
      <c r="I13" s="72" t="n">
        <f aca="false">$B$7*G13</f>
        <v>934.865725479581</v>
      </c>
      <c r="J13" s="72" t="n">
        <f aca="false">$B$8*G13</f>
        <v>741.845880851063</v>
      </c>
      <c r="K13" s="47" t="s">
        <v>308</v>
      </c>
      <c r="L13" s="69"/>
    </row>
    <row r="14" customFormat="false" ht="15" hidden="false" customHeight="false" outlineLevel="0" collapsed="false">
      <c r="A14" s="68" t="s">
        <v>309</v>
      </c>
      <c r="B14" s="69" t="s">
        <v>307</v>
      </c>
      <c r="C14" s="65" t="n">
        <v>271704</v>
      </c>
      <c r="D14" s="70" t="n">
        <f aca="false">GD2_Baseline!$B$3/C14</f>
        <v>3.68047581191296</v>
      </c>
      <c r="E14" s="65" t="n">
        <v>1194</v>
      </c>
      <c r="F14" s="64" t="n">
        <v>28.532199752</v>
      </c>
      <c r="G14" s="65" t="n">
        <v>18322432</v>
      </c>
      <c r="H14" s="71" t="n">
        <f aca="false">G14/$B$9</f>
        <v>63.9964233821393</v>
      </c>
      <c r="I14" s="72" t="n">
        <f aca="false">$B$7*G14</f>
        <v>1869.62696166381</v>
      </c>
      <c r="J14" s="72" t="n">
        <f aca="false">$B$8*G14</f>
        <v>1483.60884610127</v>
      </c>
      <c r="K14" s="47" t="s">
        <v>308</v>
      </c>
      <c r="L14" s="69"/>
    </row>
    <row r="15" customFormat="false" ht="15" hidden="false" customHeight="false" outlineLevel="0" collapsed="false">
      <c r="A15" s="68" t="s">
        <v>310</v>
      </c>
      <c r="B15" s="69" t="s">
        <v>307</v>
      </c>
      <c r="C15" s="65" t="n">
        <v>246976</v>
      </c>
      <c r="D15" s="70" t="n">
        <f aca="false">GD2_Baseline!$B$3/C15</f>
        <v>4.04897641876134</v>
      </c>
      <c r="E15" s="65" t="n">
        <v>635</v>
      </c>
      <c r="F15" s="64" t="n">
        <v>26.4945085250001</v>
      </c>
      <c r="G15" s="65" t="n">
        <v>36639744</v>
      </c>
      <c r="H15" s="71" t="n">
        <f aca="false">G15/$B$9</f>
        <v>127.974963674975</v>
      </c>
      <c r="I15" s="72" t="n">
        <f aca="false">$B$7*G15</f>
        <v>3738.73147685089</v>
      </c>
      <c r="J15" s="72" t="n">
        <f aca="false">$B$8*G15</f>
        <v>2966.80311419827</v>
      </c>
      <c r="K15" s="47" t="s">
        <v>308</v>
      </c>
      <c r="L15" s="69"/>
    </row>
    <row r="16" customFormat="false" ht="15" hidden="false" customHeight="false" outlineLevel="0" collapsed="false">
      <c r="A16" s="68" t="s">
        <v>311</v>
      </c>
      <c r="B16" s="69" t="s">
        <v>307</v>
      </c>
      <c r="C16" s="65" t="n">
        <v>228006</v>
      </c>
      <c r="D16" s="70" t="n">
        <f aca="false">GD2_Baseline!$B$3/C16</f>
        <v>4.38584949518872</v>
      </c>
      <c r="E16" s="65" t="n">
        <v>355</v>
      </c>
      <c r="F16" s="64" t="n">
        <v>27.0123556079998</v>
      </c>
      <c r="G16" s="65" t="n">
        <v>73274368</v>
      </c>
      <c r="H16" s="71" t="n">
        <f aca="false">G16/$B$9</f>
        <v>255.932044260646</v>
      </c>
      <c r="I16" s="72" t="n">
        <f aca="false">$B$7*G16</f>
        <v>7476.94050722503</v>
      </c>
      <c r="J16" s="72" t="n">
        <f aca="false">$B$8*G16</f>
        <v>5933.19165039226</v>
      </c>
      <c r="K16" s="47" t="s">
        <v>308</v>
      </c>
      <c r="L16" s="69"/>
    </row>
    <row r="17" customFormat="false" ht="15" hidden="false" customHeight="false" outlineLevel="0" collapsed="false">
      <c r="A17" s="68" t="s">
        <v>312</v>
      </c>
      <c r="B17" s="69" t="s">
        <v>307</v>
      </c>
      <c r="C17" s="65" t="n">
        <v>213691</v>
      </c>
      <c r="D17" s="70" t="n">
        <f aca="false">GD2_Baseline!$B$3/C17</f>
        <v>4.67965426714274</v>
      </c>
      <c r="E17" s="65" t="n">
        <v>215</v>
      </c>
      <c r="F17" s="64" t="n">
        <v>27.5333781210002</v>
      </c>
      <c r="G17" s="65" t="n">
        <v>146543616</v>
      </c>
      <c r="H17" s="71" t="n">
        <f aca="false">G17/$B$9</f>
        <v>511.846205431988</v>
      </c>
      <c r="I17" s="72" t="n">
        <f aca="false">$B$7*G17</f>
        <v>14953.3585679733</v>
      </c>
      <c r="J17" s="72" t="n">
        <f aca="false">$B$8*G17</f>
        <v>11865.9687227802</v>
      </c>
      <c r="K17" s="47" t="s">
        <v>308</v>
      </c>
      <c r="L17" s="69"/>
    </row>
    <row r="19" customFormat="false" ht="15" hidden="false" customHeight="false" outlineLevel="0" collapsed="false">
      <c r="A19" s="67" t="s">
        <v>313</v>
      </c>
    </row>
    <row r="20" customFormat="false" ht="48" hidden="false" customHeight="true" outlineLevel="0" collapsed="false">
      <c r="A20" s="6" t="s">
        <v>300</v>
      </c>
      <c r="B20" s="6" t="s">
        <v>301</v>
      </c>
      <c r="C20" s="6" t="s">
        <v>56</v>
      </c>
      <c r="D20" s="6" t="s">
        <v>57</v>
      </c>
      <c r="E20" s="6" t="s">
        <v>235</v>
      </c>
      <c r="F20" s="6" t="s">
        <v>60</v>
      </c>
      <c r="G20" s="6" t="s">
        <v>244</v>
      </c>
      <c r="H20" s="6" t="s">
        <v>302</v>
      </c>
      <c r="I20" s="6" t="s">
        <v>303</v>
      </c>
      <c r="J20" s="6" t="s">
        <v>304</v>
      </c>
      <c r="K20" s="6" t="s">
        <v>305</v>
      </c>
      <c r="L20" s="6" t="s">
        <v>65</v>
      </c>
    </row>
    <row r="21" customFormat="false" ht="35.05" hidden="false" customHeight="false" outlineLevel="0" collapsed="false">
      <c r="A21" s="68" t="s">
        <v>314</v>
      </c>
      <c r="B21" s="69" t="s">
        <v>315</v>
      </c>
      <c r="C21" s="65" t="n">
        <v>216534</v>
      </c>
      <c r="D21" s="70" t="n">
        <f aca="false">GD2_Baseline!$B$3/C21</f>
        <v>4.61821238235104</v>
      </c>
      <c r="E21" s="65" t="n">
        <v>278</v>
      </c>
      <c r="F21" s="64" t="n">
        <v>160.461781872</v>
      </c>
      <c r="G21" s="65" t="n">
        <v>117609472</v>
      </c>
      <c r="H21" s="71" t="n">
        <f aca="false">G21/$B$9</f>
        <v>410.785291159048</v>
      </c>
      <c r="I21" s="72" t="n">
        <f aca="false">$B$7*G21</f>
        <v>12000.909038617</v>
      </c>
      <c r="J21" s="72" t="n">
        <f aca="false">$B$8*G21</f>
        <v>9523.105505017</v>
      </c>
      <c r="K21" s="45" t="s">
        <v>316</v>
      </c>
      <c r="L21" s="8" t="s">
        <v>317</v>
      </c>
    </row>
    <row r="22" customFormat="false" ht="15" hidden="false" customHeight="false" outlineLevel="0" collapsed="false">
      <c r="A22" s="68" t="s">
        <v>318</v>
      </c>
      <c r="B22" s="69" t="s">
        <v>315</v>
      </c>
      <c r="C22" s="65" t="n">
        <v>238128</v>
      </c>
      <c r="D22" s="70" t="n">
        <f aca="false">GD2_Baseline!$B$3/C22</f>
        <v>4.19942215951085</v>
      </c>
      <c r="E22" s="65" t="n">
        <v>602</v>
      </c>
      <c r="F22" s="64" t="n">
        <v>163.270025566</v>
      </c>
      <c r="G22" s="65" t="n">
        <v>47094784</v>
      </c>
      <c r="H22" s="71" t="n">
        <f aca="false">G22/$B$9</f>
        <v>164.492232033084</v>
      </c>
      <c r="I22" s="72" t="n">
        <f aca="false">$B$7*G22</f>
        <v>4805.56718235514</v>
      </c>
      <c r="J22" s="72" t="n">
        <f aca="false">$B$8*G22</f>
        <v>3813.37139892939</v>
      </c>
      <c r="K22" s="47" t="s">
        <v>308</v>
      </c>
      <c r="L22" s="8"/>
    </row>
    <row r="23" customFormat="false" ht="15" hidden="false" customHeight="false" outlineLevel="0" collapsed="false">
      <c r="A23" s="68" t="s">
        <v>319</v>
      </c>
      <c r="B23" s="69" t="s">
        <v>315</v>
      </c>
      <c r="C23" s="65" t="n">
        <v>258127</v>
      </c>
      <c r="D23" s="70" t="n">
        <f aca="false">GD2_Baseline!$B$3/C23</f>
        <v>3.87406199274001</v>
      </c>
      <c r="E23" s="65" t="n">
        <v>1001</v>
      </c>
      <c r="F23" s="64" t="n">
        <v>163.876370966</v>
      </c>
      <c r="G23" s="65" t="n">
        <v>24636416</v>
      </c>
      <c r="H23" s="71" t="n">
        <f aca="false">G23/$B$9</f>
        <v>86.049849111434</v>
      </c>
      <c r="I23" s="72" t="n">
        <f aca="false">$B$7*G23</f>
        <v>2513.90795678029</v>
      </c>
      <c r="J23" s="72" t="n">
        <f aca="false">$B$8*G23</f>
        <v>1994.86644097415</v>
      </c>
      <c r="K23" s="47" t="s">
        <v>308</v>
      </c>
      <c r="L23" s="8"/>
    </row>
    <row r="24" customFormat="false" ht="15" hidden="false" customHeight="false" outlineLevel="0" collapsed="false">
      <c r="A24" s="68" t="s">
        <v>320</v>
      </c>
      <c r="B24" s="69" t="s">
        <v>315</v>
      </c>
      <c r="C24" s="65" t="n">
        <v>288012</v>
      </c>
      <c r="D24" s="70" t="n">
        <f aca="false">GD2_Baseline!$B$3/C24</f>
        <v>3.47207755232421</v>
      </c>
      <c r="E24" s="65" t="n">
        <v>1193</v>
      </c>
      <c r="F24" s="64" t="n">
        <v>164.636669157</v>
      </c>
      <c r="G24" s="65" t="n">
        <v>11451392</v>
      </c>
      <c r="H24" s="71" t="n">
        <f aca="false">G24/$B$9</f>
        <v>39.9973175366045</v>
      </c>
      <c r="I24" s="72" t="n">
        <f aca="false">$B$7*G24</f>
        <v>1168.50378987797</v>
      </c>
      <c r="J24" s="72" t="n">
        <f aca="false">$B$8*G24</f>
        <v>927.245164363187</v>
      </c>
      <c r="K24" s="47" t="s">
        <v>308</v>
      </c>
      <c r="L24" s="8"/>
    </row>
    <row r="25" customFormat="false" ht="23.85" hidden="false" customHeight="false" outlineLevel="0" collapsed="false">
      <c r="A25" s="68" t="s">
        <v>321</v>
      </c>
      <c r="B25" s="69" t="s">
        <v>322</v>
      </c>
      <c r="C25" s="65" t="n">
        <v>257940</v>
      </c>
      <c r="D25" s="70" t="n">
        <f aca="false">GD2_Baseline!$B$3/C25</f>
        <v>3.8768705900597</v>
      </c>
      <c r="E25" s="65" t="n">
        <v>995</v>
      </c>
      <c r="F25" s="64" t="n">
        <v>164.291015119</v>
      </c>
      <c r="G25" s="65" t="n">
        <v>24869888</v>
      </c>
      <c r="H25" s="71" t="n">
        <f aca="false">G25/$B$9</f>
        <v>86.8653179836817</v>
      </c>
      <c r="I25" s="72" t="n">
        <f aca="false">$B$7*G25</f>
        <v>2537.73151611966</v>
      </c>
      <c r="J25" s="72" t="n">
        <f aca="false">$B$8*G25</f>
        <v>2013.77119796913</v>
      </c>
      <c r="K25" s="47" t="s">
        <v>308</v>
      </c>
      <c r="L25" s="8" t="s">
        <v>323</v>
      </c>
    </row>
    <row r="26" customFormat="false" ht="15" hidden="false" customHeight="false" outlineLevel="0" collapsed="false">
      <c r="A26" s="68" t="s">
        <v>324</v>
      </c>
      <c r="B26" s="69" t="s">
        <v>322</v>
      </c>
      <c r="C26" s="65" t="n">
        <v>284591</v>
      </c>
      <c r="D26" s="70" t="n">
        <f aca="false">GD2_Baseline!$B$3/C26</f>
        <v>3.51381456195031</v>
      </c>
      <c r="E26" s="65" t="n">
        <v>1188</v>
      </c>
      <c r="F26" s="64" t="n">
        <v>164.267893604</v>
      </c>
      <c r="G26" s="65" t="n">
        <v>12372992</v>
      </c>
      <c r="H26" s="71" t="n">
        <f aca="false">G26/$B$9</f>
        <v>43.2162736112663</v>
      </c>
      <c r="I26" s="72" t="n">
        <f aca="false">$B$7*G26</f>
        <v>1262.54415569127</v>
      </c>
      <c r="J26" s="72" t="n">
        <f aca="false">$B$8*G26</f>
        <v>1001.86920513283</v>
      </c>
      <c r="K26" s="47" t="s">
        <v>308</v>
      </c>
      <c r="L26" s="8"/>
    </row>
    <row r="27" customFormat="false" ht="15" hidden="false" customHeight="false" outlineLevel="0" collapsed="false">
      <c r="A27" s="68" t="s">
        <v>314</v>
      </c>
      <c r="B27" s="69" t="s">
        <v>322</v>
      </c>
      <c r="C27" s="65" t="n">
        <v>300358</v>
      </c>
      <c r="D27" s="70" t="n">
        <f aca="false">GD2_Baseline!$B$3/C27</f>
        <v>3.32936029671259</v>
      </c>
      <c r="E27" s="65" t="n">
        <v>1194</v>
      </c>
      <c r="F27" s="64" t="n">
        <v>164.42520914</v>
      </c>
      <c r="G27" s="65" t="n">
        <v>9178112</v>
      </c>
      <c r="H27" s="71" t="n">
        <f aca="false">G27/$B$9</f>
        <v>32.0572258857718</v>
      </c>
      <c r="I27" s="72" t="n">
        <f aca="false">$B$7*G27</f>
        <v>936.537554205151</v>
      </c>
      <c r="J27" s="72" t="n">
        <f aca="false">$B$8*G27</f>
        <v>743.172530464745</v>
      </c>
      <c r="K27" s="47" t="s">
        <v>308</v>
      </c>
      <c r="L27" s="8" t="s">
        <v>325</v>
      </c>
    </row>
    <row r="28" customFormat="false" ht="23.85" hidden="false" customHeight="false" outlineLevel="0" collapsed="false">
      <c r="A28" s="68" t="s">
        <v>326</v>
      </c>
      <c r="B28" s="69" t="s">
        <v>322</v>
      </c>
      <c r="C28" s="65" t="n">
        <v>300576</v>
      </c>
      <c r="D28" s="70" t="n">
        <f aca="false">GD2_Baseline!$B$3/C28</f>
        <v>3.32694559778559</v>
      </c>
      <c r="E28" s="65" t="n">
        <v>1194</v>
      </c>
      <c r="F28" s="64" t="n">
        <v>164.600718117001</v>
      </c>
      <c r="G28" s="65" t="n">
        <v>9161728</v>
      </c>
      <c r="H28" s="71" t="n">
        <f aca="false">G28/$B$9</f>
        <v>32</v>
      </c>
      <c r="I28" s="72" t="n">
        <f aca="false">$B$7*G28</f>
        <v>934.865725479581</v>
      </c>
      <c r="J28" s="72" t="n">
        <f aca="false">$B$8*G28</f>
        <v>741.845880851063</v>
      </c>
      <c r="K28" s="47" t="s">
        <v>308</v>
      </c>
      <c r="L28" s="8" t="s">
        <v>327</v>
      </c>
    </row>
    <row r="29" customFormat="false" ht="23.85" hidden="false" customHeight="false" outlineLevel="0" collapsed="false">
      <c r="A29" s="68" t="s">
        <v>328</v>
      </c>
      <c r="B29" s="69" t="s">
        <v>322</v>
      </c>
      <c r="C29" s="65" t="n">
        <v>300576</v>
      </c>
      <c r="D29" s="70" t="n">
        <f aca="false">GD2_Baseline!$B$3/C29</f>
        <v>3.32694559778559</v>
      </c>
      <c r="E29" s="65" t="n">
        <v>1194</v>
      </c>
      <c r="F29" s="64" t="n">
        <v>165.126093441</v>
      </c>
      <c r="G29" s="65" t="n">
        <v>9161728</v>
      </c>
      <c r="H29" s="71" t="n">
        <f aca="false">G29/$B$9</f>
        <v>32</v>
      </c>
      <c r="I29" s="72" t="n">
        <f aca="false">$B$7*G29</f>
        <v>934.865725479581</v>
      </c>
      <c r="J29" s="72" t="n">
        <f aca="false">$B$8*G29</f>
        <v>741.845880851063</v>
      </c>
      <c r="K29" s="47" t="s">
        <v>308</v>
      </c>
      <c r="L29" s="8" t="s">
        <v>327</v>
      </c>
    </row>
    <row r="30" customFormat="false" ht="27.75" hidden="false" customHeight="true" outlineLevel="0" collapsed="false">
      <c r="A30" s="25" t="s">
        <v>329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2" customFormat="false" ht="15" hidden="false" customHeight="false" outlineLevel="0" collapsed="false">
      <c r="A32" s="67" t="s">
        <v>330</v>
      </c>
    </row>
    <row r="33" customFormat="false" ht="48" hidden="false" customHeight="true" outlineLevel="0" collapsed="false">
      <c r="A33" s="6" t="s">
        <v>331</v>
      </c>
      <c r="B33" s="6" t="s">
        <v>302</v>
      </c>
      <c r="C33" s="6" t="s">
        <v>56</v>
      </c>
      <c r="D33" s="6" t="s">
        <v>332</v>
      </c>
      <c r="E33" s="6" t="s">
        <v>333</v>
      </c>
      <c r="F33" s="6" t="s">
        <v>334</v>
      </c>
      <c r="G33" s="6" t="s">
        <v>333</v>
      </c>
      <c r="H33" s="6" t="s">
        <v>335</v>
      </c>
      <c r="I33" s="6" t="s">
        <v>333</v>
      </c>
      <c r="J33" s="6" t="s">
        <v>336</v>
      </c>
      <c r="K33" s="6" t="s">
        <v>337</v>
      </c>
      <c r="L33" s="6" t="s">
        <v>338</v>
      </c>
      <c r="M33" s="6" t="s">
        <v>339</v>
      </c>
      <c r="N33" s="6" t="s">
        <v>65</v>
      </c>
    </row>
    <row r="34" customFormat="false" ht="15" hidden="false" customHeight="false" outlineLevel="0" collapsed="false">
      <c r="A34" s="68" t="s">
        <v>340</v>
      </c>
      <c r="B34" s="71" t="n">
        <f aca="false">H21</f>
        <v>410.785291159048</v>
      </c>
      <c r="C34" s="73" t="n">
        <f aca="false">C21</f>
        <v>216534</v>
      </c>
      <c r="D34" s="73" t="n">
        <f aca="false">$C$16+(B34-$H$16)/($H$17-$H$16)*($C$17-$C$16)</f>
        <v>219344.016547406</v>
      </c>
      <c r="E34" s="74" t="n">
        <f aca="false">C34/D34-1</f>
        <v>-0.0128110016021283</v>
      </c>
      <c r="F34" s="73" t="n">
        <f aca="false">$C$16+(LOG(B34,2)-LOG($H$16,2))/(LOG($H$17,2)-LOG($H$16,2))*($C$17-$C$16)</f>
        <v>218233.748716332</v>
      </c>
      <c r="G34" s="74" t="n">
        <f aca="false">C34/F34-1</f>
        <v>-0.00778866113206722</v>
      </c>
      <c r="H34" s="73" t="n">
        <f aca="false">$C$15*(LOG(B34,2)-LOG($H$16,2))*(LOG(B34,2)-LOG($H$17,2))/((LOG($H$15,2)-LOG($H$16,2))*(LOG($H$15,2)-LOG($H$17,2)))+$C$16*(LOG(B34,2)-LOG($H$15,2))*(LOG(B34,2)-LOG($H$17,2))/((LOG($H$16,2)-LOG($H$15,2))*(LOG($H$16,2)-LOG($H$17,2)))+$C$17*(LOG(B34,2)-LOG($H$15,2))*(LOG(B34,2)-LOG($H$16,2))/((LOG($H$17,2)-LOG($H$15,2))*(LOG($H$17,2)-LOG($H$16,2)))</f>
        <v>217729.412137557</v>
      </c>
      <c r="I34" s="74" t="n">
        <f aca="false">C34/H34-1</f>
        <v>-0.00549035670385945</v>
      </c>
      <c r="J34" s="71" t="n">
        <f aca="false">2^(LOG($H$16,2)+($C$16-C34)/($C$16-$C$17)*(LOG($H$17,2)-LOG($H$16,2)))</f>
        <v>446.022822985817</v>
      </c>
      <c r="K34" s="75" t="n">
        <f aca="false">1-B34/J34</f>
        <v>0.0790038760592525</v>
      </c>
      <c r="L34" s="71" t="n">
        <f aca="false">$H$16+($C$16-C34)/($C$16-$C$17)*($H$17-$H$16)</f>
        <v>461.020920052308</v>
      </c>
      <c r="M34" s="75" t="n">
        <f aca="false">1-B34/L34</f>
        <v>0.108966050580873</v>
      </c>
      <c r="N34" s="69"/>
    </row>
    <row r="35" customFormat="false" ht="15" hidden="false" customHeight="false" outlineLevel="0" collapsed="false">
      <c r="A35" s="68" t="s">
        <v>341</v>
      </c>
      <c r="B35" s="71" t="n">
        <f aca="false">H22</f>
        <v>164.492232033084</v>
      </c>
      <c r="C35" s="73" t="n">
        <f aca="false">C22</f>
        <v>238128</v>
      </c>
      <c r="D35" s="73" t="n">
        <f aca="false">$C$15+(B35-$H$15)/($H$16-$H$15)*($C$16-$C$15)</f>
        <v>241562.211426655</v>
      </c>
      <c r="E35" s="74" t="n">
        <f aca="false">C35/D35-1</f>
        <v>-0.0142166748945228</v>
      </c>
      <c r="F35" s="73" t="n">
        <f aca="false">$C$15+(LOG(B35,2)-LOG($H$15,2))/(LOG($H$16,2)-LOG($H$15,2))*($C$16-$C$15)</f>
        <v>240105.172808059</v>
      </c>
      <c r="G35" s="74" t="n">
        <f aca="false">C35/F35-1</f>
        <v>-0.00823461146186766</v>
      </c>
      <c r="H35" s="73" t="n">
        <f aca="false">$C$14*(LOG(B35,2)-LOG($H$15,2))*(LOG(B35,2)-LOG($H$16,2))/((LOG($H$14,2)-LOG($H$15,2))*(LOG($H$14,2)-LOG($H$16,2)))+$C$15*(LOG(B35,2)-LOG($H$14,2))*(LOG(B35,2)-LOG($H$16,2))/((LOG($H$15,2)-LOG($H$14,2))*(LOG($H$15,2)-LOG($H$16,2)))+$C$16*(LOG(B35,2)-LOG($H$14,2))*(LOG(B35,2)-LOG($H$15,2))/((LOG($H$16,2)-LOG($H$14,2))*(LOG($H$16,2)-LOG($H$15,2)))</f>
        <v>239439.774698215</v>
      </c>
      <c r="I35" s="74" t="n">
        <f aca="false">C35/H35-1</f>
        <v>-0.00547851625682516</v>
      </c>
      <c r="J35" s="71" t="n">
        <f aca="false">2^(LOG($H$15,2)+($C$15-C35)/($C$15-$C$16)*(LOG($H$16,2)-LOG($H$15,2)))</f>
        <v>176.814334983312</v>
      </c>
      <c r="K35" s="75" t="n">
        <f aca="false">1-B35/J35</f>
        <v>0.0696895019930988</v>
      </c>
      <c r="L35" s="71" t="n">
        <f aca="false">$H$15+($C$15-C35)/($C$15-$C$16)*($H$16-$H$15)</f>
        <v>187.656790191686</v>
      </c>
      <c r="M35" s="75" t="n">
        <f aca="false">1-B35/L35</f>
        <v>0.123441086970212</v>
      </c>
      <c r="N35" s="69"/>
    </row>
    <row r="36" customFormat="false" ht="15" hidden="false" customHeight="false" outlineLevel="0" collapsed="false">
      <c r="A36" s="68" t="s">
        <v>342</v>
      </c>
      <c r="B36" s="71" t="n">
        <f aca="false">H23</f>
        <v>86.049849111434</v>
      </c>
      <c r="C36" s="73" t="n">
        <f aca="false">C23</f>
        <v>258127</v>
      </c>
      <c r="D36" s="73" t="n">
        <f aca="false">$C$14+(B36-$H$14)/($H$15-$H$14)*($C$15-$C$14)</f>
        <v>263180.249552773</v>
      </c>
      <c r="E36" s="74" t="n">
        <f aca="false">C36/D36-1</f>
        <v>-0.0192007172322386</v>
      </c>
      <c r="F36" s="73" t="n">
        <f aca="false">$C$14+(LOG(B36,2)-LOG($H$14,2))/(LOG($H$15,2)-LOG($H$14,2))*($C$15-$C$14)</f>
        <v>261138.528874936</v>
      </c>
      <c r="G36" s="74" t="n">
        <f aca="false">C36/F36-1</f>
        <v>-0.0115323038998139</v>
      </c>
      <c r="H36" s="73" t="n">
        <f aca="false">$C$13*(LOG(B36,2)-LOG($H$14,2))*(LOG(B36,2)-LOG($H$15,2))/((LOG($H$13,2)-LOG($H$14,2))*(LOG($H$13,2)-LOG($H$15,2)))+$C$14*(LOG(B36,2)-LOG($H$13,2))*(LOG(B36,2)-LOG($H$15,2))/((LOG($H$14,2)-LOG($H$13,2))*(LOG($H$14,2)-LOG($H$15,2)))+$C$15*(LOG(B36,2)-LOG($H$13,2))*(LOG(B36,2)-LOG($H$14,2))/((LOG($H$15,2)-LOG($H$13,2))*(LOG($H$15,2)-LOG($H$14,2)))</f>
        <v>260631.947770024</v>
      </c>
      <c r="I36" s="74" t="n">
        <f aca="false">C36/H36-1</f>
        <v>-0.00961105417603869</v>
      </c>
      <c r="J36" s="71" t="n">
        <f aca="false">2^(LOG($H$14,2)+($C$14-C36)/($C$14-$C$15)*(LOG($H$15,2)-LOG($H$14,2)))</f>
        <v>93.6276274897778</v>
      </c>
      <c r="K36" s="75" t="n">
        <f aca="false">1-B36/J36</f>
        <v>0.080935281406881</v>
      </c>
      <c r="L36" s="71" t="n">
        <f aca="false">$H$14+($C$14-C36)/($C$14-$C$15)*($H$15-$H$14)</f>
        <v>99.1240779258075</v>
      </c>
      <c r="M36" s="75" t="n">
        <f aca="false">1-B36/L36</f>
        <v>0.13189760841114</v>
      </c>
      <c r="N36" s="69"/>
    </row>
    <row r="37" customFormat="false" ht="15" hidden="false" customHeight="false" outlineLevel="0" collapsed="false">
      <c r="A37" s="68" t="s">
        <v>343</v>
      </c>
      <c r="B37" s="71" t="n">
        <f aca="false">H24</f>
        <v>39.9973175366045</v>
      </c>
      <c r="C37" s="73" t="n">
        <f aca="false">C24</f>
        <v>288012</v>
      </c>
      <c r="D37" s="73" t="n">
        <f aca="false">$C$13+(B37-$H$13)/($H$14-$H$13)*($C$14-$C$13)</f>
        <v>293359.613682093</v>
      </c>
      <c r="E37" s="74" t="n">
        <f aca="false">C37/D37-1</f>
        <v>-0.0182288680264205</v>
      </c>
      <c r="F37" s="73" t="n">
        <f aca="false">$C$13+(LOG(B37,2)-LOG($H$13,2))/(LOG($H$14,2)-LOG($H$13,2))*($C$14-$C$13)</f>
        <v>291283.336249789</v>
      </c>
      <c r="G37" s="74" t="n">
        <f aca="false">C37/F37-1</f>
        <v>-0.01123077032798</v>
      </c>
      <c r="H37" s="73" t="n">
        <f aca="false">$C$13*(LOG(B37,2)-LOG($H$14,2))*(LOG(B37,2)-LOG($H$15,2))/((LOG($H$13,2)-LOG($H$14,2))*(LOG($H$13,2)-LOG($H$15,2)))+$C$14*(LOG(B37,2)-LOG($H$13,2))*(LOG(B37,2)-LOG($H$15,2))/((LOG($H$14,2)-LOG($H$13,2))*(LOG($H$14,2)-LOG($H$15,2)))+$C$15*(LOG(B37,2)-LOG($H$13,2))*(LOG(B37,2)-LOG($H$14,2))/((LOG($H$15,2)-LOG($H$13,2))*(LOG($H$15,2)-LOG($H$14,2)))</f>
        <v>290831.389961504</v>
      </c>
      <c r="I37" s="74" t="n">
        <f aca="false">C37/H37-1</f>
        <v>-0.0096942422957752</v>
      </c>
      <c r="J37" s="71" t="n">
        <f aca="false">2^(LOG($H$13,2)+($C$13-C37)/($C$13-$C$14)*(LOG($H$14,2)-LOG($H$13,2)))</f>
        <v>43.2649553613566</v>
      </c>
      <c r="K37" s="75" t="n">
        <f aca="false">1-B37/J37</f>
        <v>0.0755262035395682</v>
      </c>
      <c r="L37" s="71" t="n">
        <f aca="false">$H$13+($C$13-C37)/($C$13-$C$14)*($H$14-$H$13)</f>
        <v>45.9236306238985</v>
      </c>
      <c r="M37" s="75" t="n">
        <f aca="false">1-B37/L37</f>
        <v>0.129047137754174</v>
      </c>
      <c r="N37" s="69"/>
    </row>
    <row r="38" customFormat="false" ht="15" hidden="false" customHeight="false" outlineLevel="0" collapsed="false">
      <c r="A38" s="68" t="s">
        <v>344</v>
      </c>
      <c r="B38" s="71" t="n">
        <f aca="false">H25</f>
        <v>86.8653179836817</v>
      </c>
      <c r="C38" s="73" t="n">
        <f aca="false">C25</f>
        <v>257940</v>
      </c>
      <c r="D38" s="73" t="n">
        <f aca="false">$C$14+(B38-$H$14)/($H$15-$H$14)*($C$15-$C$14)</f>
        <v>262865.067084079</v>
      </c>
      <c r="E38" s="74" t="n">
        <f aca="false">C38/D38-1</f>
        <v>-0.0187361034264147</v>
      </c>
      <c r="F38" s="73" t="n">
        <f aca="false">$C$14+(LOG(B38,2)-LOG($H$14,2))/(LOG($H$15,2)-LOG($H$14,2))*($C$15-$C$14)</f>
        <v>260801.971894588</v>
      </c>
      <c r="G38" s="74" t="n">
        <f aca="false">C38/F38-1</f>
        <v>-0.010973735642402</v>
      </c>
      <c r="H38" s="73" t="n">
        <f aca="false">$C$13*(LOG(B38,2)-LOG($H$14,2))*(LOG(B38,2)-LOG($H$15,2))/((LOG($H$13,2)-LOG($H$14,2))*(LOG($H$13,2)-LOG($H$15,2)))+$C$14*(LOG(B38,2)-LOG($H$13,2))*(LOG(B38,2)-LOG($H$15,2))/((LOG($H$14,2)-LOG($H$13,2))*(LOG($H$14,2)-LOG($H$15,2)))+$C$15*(LOG(B38,2)-LOG($H$13,2))*(LOG(B38,2)-LOG($H$14,2))/((LOG($H$15,2)-LOG($H$13,2))*(LOG($H$15,2)-LOG($H$14,2)))</f>
        <v>260291.675760571</v>
      </c>
      <c r="I38" s="74" t="n">
        <f aca="false">C38/H38-1</f>
        <v>-0.00903477129531383</v>
      </c>
      <c r="J38" s="71" t="n">
        <f aca="false">2^(LOG($H$14,2)+($C$14-C38)/($C$14-$C$15)*(LOG($H$15,2)-LOG($H$14,2)))</f>
        <v>94.1195911692936</v>
      </c>
      <c r="K38" s="75" t="n">
        <f aca="false">1-B38/J38</f>
        <v>0.0770750605212854</v>
      </c>
      <c r="L38" s="71" t="n">
        <f aca="false">$H$14+($C$14-C38)/($C$14-$C$15)*($H$15-$H$14)</f>
        <v>99.6079014066697</v>
      </c>
      <c r="M38" s="75" t="n">
        <f aca="false">1-B38/L38</f>
        <v>0.127927435906554</v>
      </c>
      <c r="N38" s="69"/>
    </row>
    <row r="39" customFormat="false" ht="15" hidden="false" customHeight="false" outlineLevel="0" collapsed="false">
      <c r="A39" s="68" t="s">
        <v>345</v>
      </c>
      <c r="B39" s="71" t="n">
        <f aca="false">H26</f>
        <v>43.2162736112663</v>
      </c>
      <c r="C39" s="73" t="n">
        <f aca="false">C26</f>
        <v>284591</v>
      </c>
      <c r="D39" s="73" t="n">
        <f aca="false">$C$13+(B39-$H$13)/($H$14-$H$13)*($C$14-$C$13)</f>
        <v>290454.985915493</v>
      </c>
      <c r="E39" s="74" t="n">
        <f aca="false">C39/D39-1</f>
        <v>-0.0201889662765131</v>
      </c>
      <c r="F39" s="73" t="n">
        <f aca="false">$C$13+(LOG(B39,2)-LOG($H$13,2))/(LOG($H$14,2)-LOG($H$13,2))*($C$14-$C$13)</f>
        <v>288058.898699142</v>
      </c>
      <c r="G39" s="74" t="n">
        <f aca="false">C39/F39-1</f>
        <v>-0.0120388528693348</v>
      </c>
      <c r="H39" s="73" t="n">
        <f aca="false">$C$13*(LOG(B39,2)-LOG($H$14,2))*(LOG(B39,2)-LOG($H$15,2))/((LOG($H$13,2)-LOG($H$14,2))*(LOG($H$13,2)-LOG($H$15,2)))+$C$14*(LOG(B39,2)-LOG($H$13,2))*(LOG(B39,2)-LOG($H$15,2))/((LOG($H$14,2)-LOG($H$13,2))*(LOG($H$14,2)-LOG($H$15,2)))+$C$15*(LOG(B39,2)-LOG($H$13,2))*(LOG(B39,2)-LOG($H$14,2))/((LOG($H$15,2)-LOG($H$13,2))*(LOG($H$15,2)-LOG($H$14,2)))</f>
        <v>287550.387804616</v>
      </c>
      <c r="I39" s="74" t="n">
        <f aca="false">C39/H39-1</f>
        <v>-0.0102917190521283</v>
      </c>
      <c r="J39" s="71" t="n">
        <f aca="false">2^(LOG($H$13,2)+($C$13-C39)/($C$13-$C$14)*(LOG($H$14,2)-LOG($H$13,2)))</f>
        <v>46.9679902329502</v>
      </c>
      <c r="K39" s="75" t="n">
        <f aca="false">1-B39/J39</f>
        <v>0.0798781596375792</v>
      </c>
      <c r="L39" s="71" t="n">
        <f aca="false">$H$13+($C$13-C39)/($C$13-$C$14)*($H$14-$H$13)</f>
        <v>49.7148388668432</v>
      </c>
      <c r="M39" s="75" t="n">
        <f aca="false">1-B39/L39</f>
        <v>0.130716812197313</v>
      </c>
      <c r="N39" s="69"/>
    </row>
    <row r="40" customFormat="false" ht="15" hidden="false" customHeight="false" outlineLevel="0" collapsed="false">
      <c r="A40" s="68" t="s">
        <v>346</v>
      </c>
      <c r="B40" s="71" t="n">
        <f aca="false">H27</f>
        <v>32.0572258857718</v>
      </c>
      <c r="C40" s="73" t="n">
        <f aca="false">C27</f>
        <v>300358</v>
      </c>
      <c r="D40" s="73" t="n">
        <f aca="false">$C$13+(B40-$H$13)/($H$14-$H$13)*($C$14-$C$13)</f>
        <v>300524.362173038</v>
      </c>
      <c r="E40" s="74" t="n">
        <f aca="false">C40/D40-1</f>
        <v>-0.00055357300098835</v>
      </c>
      <c r="F40" s="73" t="n">
        <f aca="false">$C$13+(LOG(B40,2)-LOG($H$13,2))/(LOG($H$14,2)-LOG($H$13,2))*($C$14-$C$13)</f>
        <v>300501.571214366</v>
      </c>
      <c r="G40" s="74" t="n">
        <f aca="false">C40/F40-1</f>
        <v>-0.000477771925736725</v>
      </c>
      <c r="H40" s="73" t="n">
        <f aca="false">$C$13*(LOG(B40,2)-LOG($H$14,2))*(LOG(B40,2)-LOG($H$15,2))/((LOG($H$13,2)-LOG($H$14,2))*(LOG($H$13,2)-LOG($H$15,2)))+$C$14*(LOG(B40,2)-LOG($H$13,2))*(LOG(B40,2)-LOG($H$15,2))/((LOG($H$14,2)-LOG($H$13,2))*(LOG($H$14,2)-LOG($H$15,2)))+$C$15*(LOG(B40,2)-LOG($H$13,2))*(LOG(B40,2)-LOG($H$14,2))/((LOG($H$15,2)-LOG($H$13,2))*(LOG($H$15,2)-LOG($H$14,2)))</f>
        <v>300496.247123849</v>
      </c>
      <c r="I40" s="74" t="n">
        <f aca="false">C40/H40-1</f>
        <v>-0.000460062730141431</v>
      </c>
      <c r="J40" s="71" t="n">
        <f aca="false">2^(LOG($H$13,2)+($C$13-C40)/($C$13-$C$14)*(LOG($H$14,2)-LOG($H$13,2)))</f>
        <v>32.1679024078984</v>
      </c>
      <c r="K40" s="75" t="n">
        <f aca="false">1-B40/J40</f>
        <v>0.00344058871863184</v>
      </c>
      <c r="L40" s="71" t="n">
        <f aca="false">$H$13+($C$13-C40)/($C$13-$C$14)*($H$14-$H$13)</f>
        <v>32.2415911712838</v>
      </c>
      <c r="M40" s="75" t="n">
        <f aca="false">1-B40/L40</f>
        <v>0.00571824400764243</v>
      </c>
      <c r="N40" s="69" t="s">
        <v>347</v>
      </c>
    </row>
    <row r="41" customFormat="false" ht="48" hidden="false" customHeight="true" outlineLevel="0" collapsed="false">
      <c r="A41" s="25" t="s">
        <v>348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3" customFormat="false" ht="15" hidden="false" customHeight="false" outlineLevel="0" collapsed="false">
      <c r="A43" s="67" t="s">
        <v>349</v>
      </c>
    </row>
    <row r="44" customFormat="false" ht="15" hidden="false" customHeight="false" outlineLevel="0" collapsed="false">
      <c r="A44" s="23" t="s">
        <v>350</v>
      </c>
      <c r="B44" s="73" t="n">
        <f aca="false">C23</f>
        <v>258127</v>
      </c>
      <c r="C44" s="76" t="n">
        <f aca="false">H23</f>
        <v>86.049849111434</v>
      </c>
    </row>
    <row r="45" customFormat="false" ht="15" hidden="false" customHeight="false" outlineLevel="0" collapsed="false">
      <c r="A45" s="23" t="s">
        <v>351</v>
      </c>
      <c r="B45" s="73" t="n">
        <f aca="false">C25</f>
        <v>257940</v>
      </c>
      <c r="C45" s="76" t="n">
        <f aca="false">H25</f>
        <v>86.8653179836817</v>
      </c>
    </row>
    <row r="46" customFormat="false" ht="15" hidden="false" customHeight="false" outlineLevel="0" collapsed="false">
      <c r="A46" s="23" t="s">
        <v>352</v>
      </c>
      <c r="B46" s="73" t="n">
        <f aca="false">B45-B44</f>
        <v>-187</v>
      </c>
    </row>
    <row r="47" customFormat="false" ht="23.85" hidden="false" customHeight="false" outlineLevel="0" collapsed="false">
      <c r="A47" s="23" t="s">
        <v>353</v>
      </c>
      <c r="B47" s="73" t="n">
        <f aca="false">(C14-C15)/(H15-H14)*(C45-C44)</f>
        <v>315.182468694095</v>
      </c>
    </row>
    <row r="48" customFormat="false" ht="15" hidden="false" customHeight="false" outlineLevel="0" collapsed="false">
      <c r="A48" s="23" t="s">
        <v>354</v>
      </c>
      <c r="B48" s="73" t="n">
        <f aca="false">-B46</f>
        <v>187</v>
      </c>
    </row>
    <row r="49" customFormat="false" ht="15" hidden="false" customHeight="false" outlineLevel="0" collapsed="false">
      <c r="A49" s="23" t="s">
        <v>355</v>
      </c>
      <c r="B49" s="73" t="n">
        <f aca="false">B48-B47</f>
        <v>-128.182468694095</v>
      </c>
    </row>
    <row r="50" customFormat="false" ht="30" hidden="false" customHeight="true" outlineLevel="0" collapsed="false">
      <c r="A50" s="25" t="s">
        <v>356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2" customFormat="false" ht="15" hidden="false" customHeight="false" outlineLevel="0" collapsed="false">
      <c r="A52" s="67" t="s">
        <v>357</v>
      </c>
    </row>
    <row r="53" customFormat="false" ht="48" hidden="false" customHeight="true" outlineLevel="0" collapsed="false">
      <c r="A53" s="6" t="s">
        <v>315</v>
      </c>
      <c r="B53" s="6" t="s">
        <v>358</v>
      </c>
      <c r="C53" s="6" t="s">
        <v>359</v>
      </c>
      <c r="D53" s="6" t="s">
        <v>360</v>
      </c>
      <c r="E53" s="6" t="s">
        <v>361</v>
      </c>
      <c r="F53" s="6" t="s">
        <v>362</v>
      </c>
      <c r="G53" s="6" t="s">
        <v>302</v>
      </c>
    </row>
    <row r="54" customFormat="false" ht="15" hidden="false" customHeight="false" outlineLevel="0" collapsed="false">
      <c r="A54" s="68" t="s">
        <v>248</v>
      </c>
      <c r="B54" s="65" t="n">
        <v>1260553.08329773</v>
      </c>
      <c r="C54" s="73" t="n">
        <f aca="false">B54/8</f>
        <v>157569.135412216</v>
      </c>
      <c r="D54" s="65" t="n">
        <v>216256</v>
      </c>
      <c r="E54" s="73" t="n">
        <f aca="false">C21</f>
        <v>216534</v>
      </c>
      <c r="F54" s="77" t="n">
        <f aca="false">E54/C54</f>
        <v>1.37421582871243</v>
      </c>
      <c r="G54" s="71" t="n">
        <f aca="false">H21</f>
        <v>410.785291159048</v>
      </c>
    </row>
    <row r="55" customFormat="false" ht="15" hidden="false" customHeight="false" outlineLevel="0" collapsed="false">
      <c r="A55" s="68" t="s">
        <v>252</v>
      </c>
      <c r="B55" s="65" t="n">
        <v>1407512.00906372</v>
      </c>
      <c r="C55" s="73" t="n">
        <f aca="false">B55/8</f>
        <v>175939.001132965</v>
      </c>
      <c r="D55" s="65" t="n">
        <v>237526</v>
      </c>
      <c r="E55" s="73" t="n">
        <f aca="false">C22</f>
        <v>238128</v>
      </c>
      <c r="F55" s="77" t="n">
        <f aca="false">E55/C55</f>
        <v>1.35346909137012</v>
      </c>
      <c r="G55" s="71" t="n">
        <f aca="false">H22</f>
        <v>164.492232033084</v>
      </c>
    </row>
    <row r="56" customFormat="false" ht="15" hidden="false" customHeight="false" outlineLevel="0" collapsed="false">
      <c r="A56" s="68" t="s">
        <v>255</v>
      </c>
      <c r="B56" s="65" t="n">
        <v>1557720.5815506</v>
      </c>
      <c r="C56" s="73" t="n">
        <f aca="false">B56/8</f>
        <v>194715.072693825</v>
      </c>
      <c r="D56" s="65" t="n">
        <v>257126</v>
      </c>
      <c r="E56" s="73" t="n">
        <f aca="false">C23</f>
        <v>258127</v>
      </c>
      <c r="F56" s="77" t="n">
        <f aca="false">E56/C56</f>
        <v>1.32566522164355</v>
      </c>
      <c r="G56" s="71" t="n">
        <f aca="false">H23</f>
        <v>86.049849111434</v>
      </c>
    </row>
    <row r="57" customFormat="false" ht="15" hidden="false" customHeight="false" outlineLevel="0" collapsed="false">
      <c r="A57" s="68" t="s">
        <v>256</v>
      </c>
      <c r="B57" s="65" t="n">
        <v>1803641.90518189</v>
      </c>
      <c r="C57" s="73" t="n">
        <f aca="false">B57/8</f>
        <v>225455.238147736</v>
      </c>
      <c r="D57" s="65" t="n">
        <v>286819</v>
      </c>
      <c r="E57" s="73" t="n">
        <f aca="false">C24</f>
        <v>288012</v>
      </c>
      <c r="F57" s="77" t="n">
        <f aca="false">E57/C57</f>
        <v>1.27746865571281</v>
      </c>
      <c r="G57" s="71" t="n">
        <f aca="false">H24</f>
        <v>39.9973175366045</v>
      </c>
    </row>
    <row r="58" customFormat="false" ht="42" hidden="false" customHeight="true" outlineLevel="0" collapsed="false">
      <c r="A58" s="25" t="s">
        <v>363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60" customFormat="false" ht="15" hidden="false" customHeight="false" outlineLevel="0" collapsed="false">
      <c r="A60" s="67" t="s">
        <v>364</v>
      </c>
    </row>
    <row r="61" customFormat="false" ht="48" hidden="false" customHeight="true" outlineLevel="0" collapsed="false">
      <c r="A61" s="6" t="s">
        <v>331</v>
      </c>
      <c r="B61" s="6" t="s">
        <v>365</v>
      </c>
      <c r="C61" s="6" t="s">
        <v>366</v>
      </c>
      <c r="D61" s="6" t="s">
        <v>367</v>
      </c>
      <c r="E61" s="6" t="s">
        <v>302</v>
      </c>
      <c r="F61" s="6" t="s">
        <v>368</v>
      </c>
      <c r="G61" s="6" t="s">
        <v>369</v>
      </c>
      <c r="H61" s="6" t="s">
        <v>370</v>
      </c>
      <c r="I61" s="6" t="s">
        <v>371</v>
      </c>
      <c r="J61" s="6" t="s">
        <v>372</v>
      </c>
      <c r="K61" s="6" t="s">
        <v>373</v>
      </c>
    </row>
    <row r="62" customFormat="false" ht="15" hidden="false" customHeight="false" outlineLevel="0" collapsed="false">
      <c r="A62" s="68" t="s">
        <v>340</v>
      </c>
      <c r="B62" s="78" t="n">
        <f aca="false">F21</f>
        <v>160.461781872</v>
      </c>
      <c r="C62" s="78" t="n">
        <f aca="false">AVERAGE($F$13:$F$17)</f>
        <v>27.5123195550001</v>
      </c>
      <c r="D62" s="78" t="n">
        <f aca="false">B62-C62</f>
        <v>132.949462317</v>
      </c>
      <c r="E62" s="71" t="n">
        <f aca="false">B34</f>
        <v>410.785291159048</v>
      </c>
      <c r="F62" s="71" t="n">
        <f aca="false">J34</f>
        <v>446.022822985817</v>
      </c>
      <c r="G62" s="73" t="n">
        <f aca="false">$B$7*$B$9*(F62-E62)</f>
        <v>1029.44877360446</v>
      </c>
      <c r="H62" s="73" t="n">
        <f aca="false">G62-D62</f>
        <v>896.499311287457</v>
      </c>
      <c r="I62" s="73" t="n">
        <f aca="false">$B$8*$B$9*(F62-E62)</f>
        <v>816.900557407723</v>
      </c>
      <c r="J62" s="73" t="n">
        <f aca="false">I62-D62</f>
        <v>683.951095090723</v>
      </c>
      <c r="K62" s="7" t="str">
        <f aca="false">IF(H62&gt;0,"có lợi","KHÔNG lợi")</f>
        <v>có lợi</v>
      </c>
    </row>
    <row r="63" customFormat="false" ht="15" hidden="false" customHeight="false" outlineLevel="0" collapsed="false">
      <c r="A63" s="68" t="s">
        <v>341</v>
      </c>
      <c r="B63" s="78" t="n">
        <f aca="false">F22</f>
        <v>163.270025566</v>
      </c>
      <c r="C63" s="78" t="n">
        <f aca="false">AVERAGE($F$13:$F$17)</f>
        <v>27.5123195550001</v>
      </c>
      <c r="D63" s="78" t="n">
        <f aca="false">B63-C63</f>
        <v>135.757706011</v>
      </c>
      <c r="E63" s="71" t="n">
        <f aca="false">B35</f>
        <v>164.492232033084</v>
      </c>
      <c r="F63" s="71" t="n">
        <f aca="false">J35</f>
        <v>176.814334983312</v>
      </c>
      <c r="G63" s="73" t="n">
        <f aca="false">$B$7*$B$9*(F63-E63)</f>
        <v>359.984741062466</v>
      </c>
      <c r="H63" s="73" t="n">
        <f aca="false">G63-D63</f>
        <v>224.227035051466</v>
      </c>
      <c r="I63" s="73" t="n">
        <f aca="false">$B$8*$B$9*(F63-E63)</f>
        <v>285.659416157791</v>
      </c>
      <c r="J63" s="73" t="n">
        <f aca="false">I63-D63</f>
        <v>149.901710146791</v>
      </c>
      <c r="K63" s="7" t="str">
        <f aca="false">IF(H63&gt;0,"có lợi","KHÔNG lợi")</f>
        <v>có lợi</v>
      </c>
    </row>
    <row r="64" customFormat="false" ht="15" hidden="false" customHeight="false" outlineLevel="0" collapsed="false">
      <c r="A64" s="68" t="s">
        <v>342</v>
      </c>
      <c r="B64" s="78" t="n">
        <f aca="false">F23</f>
        <v>163.876370966</v>
      </c>
      <c r="C64" s="78" t="n">
        <f aca="false">AVERAGE($F$13:$F$17)</f>
        <v>27.5123195550001</v>
      </c>
      <c r="D64" s="78" t="n">
        <f aca="false">B64-C64</f>
        <v>136.364051411</v>
      </c>
      <c r="E64" s="71" t="n">
        <f aca="false">B36</f>
        <v>86.049849111434</v>
      </c>
      <c r="F64" s="71" t="n">
        <f aca="false">J36</f>
        <v>93.6276274897778</v>
      </c>
      <c r="G64" s="73" t="n">
        <f aca="false">$B$7*$B$9*(F64-E64)</f>
        <v>221.381415037308</v>
      </c>
      <c r="H64" s="73" t="n">
        <f aca="false">G64-D64</f>
        <v>85.0173636263079</v>
      </c>
      <c r="I64" s="73" t="n">
        <f aca="false">$B$8*$B$9*(F64-E64)</f>
        <v>175.673239874268</v>
      </c>
      <c r="J64" s="73" t="n">
        <f aca="false">I64-D64</f>
        <v>39.3091884632685</v>
      </c>
      <c r="K64" s="7" t="str">
        <f aca="false">IF(H64&gt;0,"có lợi","KHÔNG lợi")</f>
        <v>có lợi</v>
      </c>
    </row>
    <row r="65" customFormat="false" ht="15" hidden="false" customHeight="false" outlineLevel="0" collapsed="false">
      <c r="A65" s="68" t="s">
        <v>343</v>
      </c>
      <c r="B65" s="78" t="n">
        <f aca="false">F24</f>
        <v>164.636669157</v>
      </c>
      <c r="C65" s="78" t="n">
        <f aca="false">AVERAGE($F$13:$F$17)</f>
        <v>27.5123195550001</v>
      </c>
      <c r="D65" s="78" t="n">
        <f aca="false">B65-C65</f>
        <v>137.124349602</v>
      </c>
      <c r="E65" s="71" t="n">
        <f aca="false">B37</f>
        <v>39.9973175366045</v>
      </c>
      <c r="F65" s="71" t="n">
        <f aca="false">J37</f>
        <v>43.2649553613566</v>
      </c>
      <c r="G65" s="73" t="n">
        <f aca="false">$B$7*$B$9*(F65-E65)</f>
        <v>95.4625814262949</v>
      </c>
      <c r="H65" s="73" t="n">
        <f aca="false">G65-D65</f>
        <v>-41.6617681757049</v>
      </c>
      <c r="I65" s="73" t="n">
        <f aca="false">$B$8*$B$9*(F65-E65)</f>
        <v>75.7526143876722</v>
      </c>
      <c r="J65" s="73" t="n">
        <f aca="false">I65-D65</f>
        <v>-61.3717352143276</v>
      </c>
      <c r="K65" s="7" t="str">
        <f aca="false">IF(H65&gt;0,"có lợi","KHÔNG lợi")</f>
        <v>KHÔNG lợi</v>
      </c>
    </row>
    <row r="66" customFormat="false" ht="15" hidden="false" customHeight="false" outlineLevel="0" collapsed="false">
      <c r="A66" s="68" t="s">
        <v>344</v>
      </c>
      <c r="B66" s="78" t="n">
        <f aca="false">F25</f>
        <v>164.291015119</v>
      </c>
      <c r="C66" s="78" t="n">
        <f aca="false">AVERAGE($F$13:$F$17)</f>
        <v>27.5123195550001</v>
      </c>
      <c r="D66" s="78" t="n">
        <f aca="false">B66-C66</f>
        <v>136.778695564</v>
      </c>
      <c r="E66" s="71" t="n">
        <f aca="false">B38</f>
        <v>86.8653179836817</v>
      </c>
      <c r="F66" s="71" t="n">
        <f aca="false">J38</f>
        <v>94.1195911692936</v>
      </c>
      <c r="G66" s="73" t="n">
        <f aca="false">$B$7*$B$9*(F66-E66)</f>
        <v>211.930355140443</v>
      </c>
      <c r="H66" s="73" t="n">
        <f aca="false">G66-D66</f>
        <v>75.1516595764435</v>
      </c>
      <c r="I66" s="73" t="n">
        <f aca="false">$B$8*$B$9*(F66-E66)</f>
        <v>168.173521291079</v>
      </c>
      <c r="J66" s="73" t="n">
        <f aca="false">I66-D66</f>
        <v>31.3948257270797</v>
      </c>
      <c r="K66" s="7" t="str">
        <f aca="false">IF(H66&gt;0,"có lợi","KHÔNG lợi")</f>
        <v>có lợi</v>
      </c>
    </row>
    <row r="67" customFormat="false" ht="15" hidden="false" customHeight="false" outlineLevel="0" collapsed="false">
      <c r="A67" s="68" t="s">
        <v>345</v>
      </c>
      <c r="B67" s="78" t="n">
        <f aca="false">F26</f>
        <v>164.267893604</v>
      </c>
      <c r="C67" s="78" t="n">
        <f aca="false">AVERAGE($F$13:$F$17)</f>
        <v>27.5123195550001</v>
      </c>
      <c r="D67" s="78" t="n">
        <f aca="false">B67-C67</f>
        <v>136.755574049</v>
      </c>
      <c r="E67" s="71" t="n">
        <f aca="false">B39</f>
        <v>43.2162736112663</v>
      </c>
      <c r="F67" s="71" t="n">
        <f aca="false">J39</f>
        <v>46.9679902329502</v>
      </c>
      <c r="G67" s="73" t="n">
        <f aca="false">$B$7*$B$9*(F67-E67)</f>
        <v>109.604727541384</v>
      </c>
      <c r="H67" s="73" t="n">
        <f aca="false">G67-D67</f>
        <v>-27.1508465076164</v>
      </c>
      <c r="I67" s="73" t="n">
        <f aca="false">$B$8*$B$9*(F67-E67)</f>
        <v>86.9748600598948</v>
      </c>
      <c r="J67" s="73" t="n">
        <f aca="false">I67-D67</f>
        <v>-49.7807139891054</v>
      </c>
      <c r="K67" s="7" t="str">
        <f aca="false">IF(H67&gt;0,"có lợi","KHÔNG lợi")</f>
        <v>KHÔNG lợi</v>
      </c>
    </row>
    <row r="68" customFormat="false" ht="30" hidden="false" customHeight="true" outlineLevel="0" collapsed="false">
      <c r="A68" s="25" t="s">
        <v>374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</row>
  </sheetData>
  <mergeCells count="5">
    <mergeCell ref="A30:L30"/>
    <mergeCell ref="A41:N41"/>
    <mergeCell ref="A50:N50"/>
    <mergeCell ref="A58:N58"/>
    <mergeCell ref="A68:N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F31" activeCellId="0" sqref="F31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15"/>
    <col collapsed="false" customWidth="true" hidden="false" outlineLevel="0" max="4" min="4" style="1" width="18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26"/>
    <col collapsed="false" customWidth="true" hidden="false" outlineLevel="0" max="11" min="11" style="1" width="50"/>
  </cols>
  <sheetData>
    <row r="1" customFormat="false" ht="18" hidden="false" customHeight="true" outlineLevel="0" collapsed="false">
      <c r="A1" s="2" t="s">
        <v>375</v>
      </c>
    </row>
    <row r="2" customFormat="false" ht="15" hidden="false" customHeight="true" outlineLevel="0" collapsed="false">
      <c r="A2" s="3" t="s">
        <v>376</v>
      </c>
    </row>
    <row r="3" customFormat="false" ht="15" hidden="false" customHeight="true" outlineLevel="0" collapsed="false">
      <c r="A3" s="11" t="s">
        <v>93</v>
      </c>
      <c r="B3" s="26" t="n">
        <f aca="false">GD2_Baseline!B3</f>
        <v>1000000</v>
      </c>
    </row>
    <row r="4" customFormat="false" ht="15" hidden="false" customHeight="true" outlineLevel="0" collapsed="false">
      <c r="A4" s="11" t="s">
        <v>377</v>
      </c>
      <c r="B4" s="3" t="s">
        <v>378</v>
      </c>
    </row>
    <row r="6" customFormat="false" ht="43.5" hidden="false" customHeight="true" outlineLevel="0" collapsed="false">
      <c r="A6" s="6" t="s">
        <v>300</v>
      </c>
      <c r="B6" s="6" t="s">
        <v>56</v>
      </c>
      <c r="C6" s="6" t="s">
        <v>57</v>
      </c>
      <c r="D6" s="6" t="s">
        <v>379</v>
      </c>
      <c r="E6" s="6" t="s">
        <v>60</v>
      </c>
      <c r="F6" s="6" t="s">
        <v>61</v>
      </c>
      <c r="G6" s="6" t="s">
        <v>380</v>
      </c>
      <c r="H6" s="6" t="s">
        <v>62</v>
      </c>
      <c r="I6" s="6" t="s">
        <v>381</v>
      </c>
      <c r="J6" s="6" t="s">
        <v>382</v>
      </c>
      <c r="K6" s="6" t="s">
        <v>65</v>
      </c>
    </row>
    <row r="7" customFormat="false" ht="15" hidden="false" customHeight="true" outlineLevel="0" collapsed="false">
      <c r="A7" s="11" t="s">
        <v>306</v>
      </c>
      <c r="B7" s="12" t="n">
        <v>300576</v>
      </c>
      <c r="C7" s="14" t="n">
        <f aca="false">IF(ISNUMBER(B7),$B$3/B7,"")</f>
        <v>3.32694559778559</v>
      </c>
      <c r="D7" s="15" t="n">
        <f aca="false">IF(AND(ISNUMBER(B7),ISNUMBER($B$11)),B7/$B$11-1,"")</f>
        <v>0.406591761000697</v>
      </c>
      <c r="E7" s="17" t="n">
        <v>27.9891557690003</v>
      </c>
      <c r="F7" s="21" t="s">
        <v>80</v>
      </c>
      <c r="G7" s="18" t="n">
        <f aca="false">IF(AND(ISNUMBER(E7),ISNUMBER($E$11)),1-E7/$E$11,"")</f>
        <v>-0.0165536406755864</v>
      </c>
      <c r="H7" s="79"/>
      <c r="I7" s="47" t="s">
        <v>383</v>
      </c>
      <c r="J7" s="7" t="s">
        <v>384</v>
      </c>
      <c r="K7" s="80"/>
    </row>
    <row r="8" customFormat="false" ht="15" hidden="false" customHeight="true" outlineLevel="0" collapsed="false">
      <c r="A8" s="11" t="s">
        <v>309</v>
      </c>
      <c r="B8" s="12" t="n">
        <v>271704</v>
      </c>
      <c r="C8" s="14" t="n">
        <f aca="false">IF(ISNUMBER(B8),$B$3/B8,"")</f>
        <v>3.68047581191296</v>
      </c>
      <c r="D8" s="15" t="n">
        <f aca="false">IF(AND(ISNUMBER(B8),ISNUMBER($B$11)),B8/$B$11-1,"")</f>
        <v>0.271480782999752</v>
      </c>
      <c r="E8" s="17" t="n">
        <v>28.532199752</v>
      </c>
      <c r="F8" s="21" t="s">
        <v>80</v>
      </c>
      <c r="G8" s="18" t="n">
        <f aca="false">IF(AND(ISNUMBER(E8),ISNUMBER($E$11)),1-E8/$E$11,"")</f>
        <v>-0.036276755674888</v>
      </c>
      <c r="H8" s="79"/>
      <c r="I8" s="47" t="s">
        <v>383</v>
      </c>
      <c r="J8" s="7" t="s">
        <v>385</v>
      </c>
      <c r="K8" s="80"/>
    </row>
    <row r="9" customFormat="false" ht="15" hidden="false" customHeight="true" outlineLevel="0" collapsed="false">
      <c r="A9" s="11" t="s">
        <v>310</v>
      </c>
      <c r="B9" s="12" t="n">
        <v>246976</v>
      </c>
      <c r="C9" s="14" t="n">
        <f aca="false">IF(ISNUMBER(B9),$B$3/B9,"")</f>
        <v>4.04897641876134</v>
      </c>
      <c r="D9" s="15" t="n">
        <f aca="false">IF(AND(ISNUMBER(B9),ISNUMBER($B$11)),B9/$B$11-1,"")</f>
        <v>0.155762292281846</v>
      </c>
      <c r="E9" s="17" t="n">
        <v>26.4945085250001</v>
      </c>
      <c r="F9" s="21" t="s">
        <v>80</v>
      </c>
      <c r="G9" s="18" t="n">
        <f aca="false">IF(AND(ISNUMBER(E9),ISNUMBER($E$11)),1-E9/$E$11,"")</f>
        <v>0.0377312798827136</v>
      </c>
      <c r="H9" s="79"/>
      <c r="I9" s="47" t="s">
        <v>383</v>
      </c>
      <c r="J9" s="7" t="s">
        <v>386</v>
      </c>
      <c r="K9" s="80"/>
    </row>
    <row r="10" customFormat="false" ht="15" hidden="false" customHeight="true" outlineLevel="0" collapsed="false">
      <c r="A10" s="11" t="s">
        <v>311</v>
      </c>
      <c r="B10" s="12" t="n">
        <v>228006</v>
      </c>
      <c r="C10" s="14" t="n">
        <f aca="false">IF(ISNUMBER(B10),$B$3/B10,"")</f>
        <v>4.38584949518872</v>
      </c>
      <c r="D10" s="15" t="n">
        <f aca="false">IF(AND(ISNUMBER(B10),ISNUMBER($B$11)),B10/$B$11-1,"")</f>
        <v>0.0669892508341483</v>
      </c>
      <c r="E10" s="17" t="n">
        <v>27.0123556079998</v>
      </c>
      <c r="F10" s="21" t="s">
        <v>80</v>
      </c>
      <c r="G10" s="18" t="n">
        <f aca="false">IF(AND(ISNUMBER(E10),ISNUMBER($E$11)),1-E10/$E$11,"")</f>
        <v>0.0189233050412727</v>
      </c>
      <c r="H10" s="79"/>
      <c r="I10" s="47" t="s">
        <v>383</v>
      </c>
      <c r="J10" s="7" t="s">
        <v>387</v>
      </c>
      <c r="K10" s="80"/>
    </row>
    <row r="11" customFormat="false" ht="15" hidden="false" customHeight="true" outlineLevel="0" collapsed="false">
      <c r="A11" s="11" t="s">
        <v>312</v>
      </c>
      <c r="B11" s="12" t="n">
        <v>213691</v>
      </c>
      <c r="C11" s="14" t="n">
        <f aca="false">IF(ISNUMBER(B11),$B$3/B11,"")</f>
        <v>4.67965426714274</v>
      </c>
      <c r="D11" s="15" t="n">
        <f aca="false">IF(AND(ISNUMBER(B11),ISNUMBER($B$11)),B11/$B$11-1,"")</f>
        <v>0</v>
      </c>
      <c r="E11" s="17" t="n">
        <v>27.5333781210002</v>
      </c>
      <c r="F11" s="21" t="s">
        <v>80</v>
      </c>
      <c r="G11" s="18" t="n">
        <f aca="false">IF(AND(ISNUMBER(E11),ISNUMBER($E$11)),1-E11/$E$11,"")</f>
        <v>0</v>
      </c>
      <c r="H11" s="79"/>
      <c r="I11" s="47" t="s">
        <v>383</v>
      </c>
      <c r="J11" s="7" t="s">
        <v>388</v>
      </c>
      <c r="K11" s="80"/>
    </row>
    <row r="12" customFormat="false" ht="15" hidden="false" customHeight="true" outlineLevel="0" collapsed="false">
      <c r="A12" s="11" t="s">
        <v>389</v>
      </c>
      <c r="B12" s="79"/>
      <c r="C12" s="14" t="str">
        <f aca="false">IF(ISNUMBER(B12),$B$3/B12,"")</f>
        <v/>
      </c>
      <c r="D12" s="15" t="str">
        <f aca="false">IF(AND(ISNUMBER(B12),ISNUMBER($B$11)),B12/$B$11-1,"")</f>
        <v/>
      </c>
      <c r="E12" s="79"/>
      <c r="F12" s="79"/>
      <c r="G12" s="18" t="str">
        <f aca="false">IF(AND(ISNUMBER(E12),ISNUMBER($E$11)),1-E12/$E$11,"")</f>
        <v/>
      </c>
      <c r="H12" s="79"/>
      <c r="I12" s="80"/>
      <c r="J12" s="80"/>
      <c r="K12" s="80"/>
    </row>
    <row r="13" customFormat="false" ht="48" hidden="false" customHeight="true" outlineLevel="0" collapsed="false">
      <c r="A13" s="11" t="s">
        <v>390</v>
      </c>
      <c r="B13" s="12" t="n">
        <v>216534</v>
      </c>
      <c r="C13" s="14" t="n">
        <f aca="false">IF(ISNUMBER(B13),$B$3/B13,"")</f>
        <v>4.61821238235104</v>
      </c>
      <c r="D13" s="15" t="n">
        <f aca="false">IF(AND(ISNUMBER(B13),ISNUMBER($B$11)),B13/$B$11-1,"")</f>
        <v>0.0133042570814867</v>
      </c>
      <c r="E13" s="17" t="n">
        <v>160.461781872</v>
      </c>
      <c r="F13" s="17" t="n">
        <v>12000.909038617</v>
      </c>
      <c r="G13" s="18" t="n">
        <f aca="false">IF(AND(ISNUMBER(E13),ISNUMBER($E$11)),1-E13/$E$11,"")</f>
        <v>-4.82790027314567</v>
      </c>
      <c r="H13" s="17" t="n">
        <v>817.92919921875</v>
      </c>
      <c r="I13" s="45" t="s">
        <v>391</v>
      </c>
      <c r="J13" s="7" t="s">
        <v>392</v>
      </c>
      <c r="K13" s="8" t="s">
        <v>393</v>
      </c>
    </row>
    <row r="14" customFormat="false" ht="15" hidden="false" customHeight="true" outlineLevel="0" collapsed="false">
      <c r="A14" s="11" t="s">
        <v>394</v>
      </c>
      <c r="B14" s="79"/>
      <c r="C14" s="14" t="str">
        <f aca="false">IF(ISNUMBER(B14),$B$3/B14,"")</f>
        <v/>
      </c>
      <c r="D14" s="15" t="str">
        <f aca="false">IF(AND(ISNUMBER(B14),ISNUMBER($B$11)),B14/$B$11-1,"")</f>
        <v/>
      </c>
      <c r="E14" s="79"/>
      <c r="F14" s="79"/>
      <c r="G14" s="18" t="str">
        <f aca="false">IF(AND(ISNUMBER(E14),ISNUMBER($E$11)),1-E14/$E$11,"")</f>
        <v/>
      </c>
      <c r="H14" s="79"/>
      <c r="I14" s="80"/>
      <c r="J14" s="80"/>
      <c r="K14" s="80"/>
    </row>
    <row r="15" customFormat="false" ht="48" hidden="false" customHeight="true" outlineLevel="0" collapsed="false">
      <c r="A15" s="11" t="s">
        <v>395</v>
      </c>
      <c r="B15" s="12" t="n">
        <v>238128</v>
      </c>
      <c r="C15" s="14" t="n">
        <f aca="false">IF(ISNUMBER(B15),$B$3/B15,"")</f>
        <v>4.19942215951085</v>
      </c>
      <c r="D15" s="15" t="n">
        <f aca="false">IF(AND(ISNUMBER(B15),ISNUMBER($B$11)),B15/$B$11-1,"")</f>
        <v>0.114356711326167</v>
      </c>
      <c r="E15" s="17" t="n">
        <v>163.270025566</v>
      </c>
      <c r="F15" s="79"/>
      <c r="G15" s="18" t="n">
        <f aca="false">IF(AND(ISNUMBER(E15),ISNUMBER($E$11)),1-E15/$E$11,"")</f>
        <v>-4.9298944302614</v>
      </c>
      <c r="H15" s="79"/>
      <c r="I15" s="47" t="s">
        <v>383</v>
      </c>
      <c r="J15" s="7" t="s">
        <v>396</v>
      </c>
      <c r="K15" s="8" t="s">
        <v>397</v>
      </c>
    </row>
    <row r="16" customFormat="false" ht="48" hidden="false" customHeight="true" outlineLevel="0" collapsed="false">
      <c r="A16" s="11" t="s">
        <v>398</v>
      </c>
      <c r="B16" s="12" t="n">
        <v>258127</v>
      </c>
      <c r="C16" s="14" t="n">
        <f aca="false">IF(ISNUMBER(B16),$B$3/B16,"")</f>
        <v>3.87406199274001</v>
      </c>
      <c r="D16" s="15" t="n">
        <f aca="false">IF(AND(ISNUMBER(B16),ISNUMBER($B$11)),B16/$B$11-1,"")</f>
        <v>0.207945117014755</v>
      </c>
      <c r="E16" s="17" t="n">
        <v>163.876370966</v>
      </c>
      <c r="F16" s="79"/>
      <c r="G16" s="18" t="n">
        <f aca="false">IF(AND(ISNUMBER(E16),ISNUMBER($E$11)),1-E16/$E$11,"")</f>
        <v>-4.95191662446276</v>
      </c>
      <c r="H16" s="79"/>
      <c r="I16" s="47" t="s">
        <v>383</v>
      </c>
      <c r="J16" s="7" t="s">
        <v>399</v>
      </c>
      <c r="K16" s="8" t="s">
        <v>400</v>
      </c>
    </row>
    <row r="17" customFormat="false" ht="48" hidden="false" customHeight="true" outlineLevel="0" collapsed="false">
      <c r="A17" s="11" t="s">
        <v>401</v>
      </c>
      <c r="B17" s="12" t="n">
        <v>288012</v>
      </c>
      <c r="C17" s="14" t="n">
        <f aca="false">IF(ISNUMBER(B17),$B$3/B17,"")</f>
        <v>3.47207755232421</v>
      </c>
      <c r="D17" s="15" t="n">
        <f aca="false">IF(AND(ISNUMBER(B17),ISNUMBER($B$11)),B17/$B$11-1,"")</f>
        <v>0.347796584788316</v>
      </c>
      <c r="E17" s="17" t="n">
        <v>164.636669157</v>
      </c>
      <c r="F17" s="79"/>
      <c r="G17" s="18" t="n">
        <f aca="false">IF(AND(ISNUMBER(E17),ISNUMBER($E$11)),1-E17/$E$11,"")</f>
        <v>-4.97953031529498</v>
      </c>
      <c r="H17" s="79"/>
      <c r="I17" s="47" t="s">
        <v>383</v>
      </c>
      <c r="J17" s="7" t="s">
        <v>402</v>
      </c>
      <c r="K17" s="8" t="s">
        <v>400</v>
      </c>
    </row>
    <row r="19" customFormat="false" ht="15" hidden="false" customHeight="true" outlineLevel="0" collapsed="false">
      <c r="A19" s="81" t="s">
        <v>403</v>
      </c>
      <c r="B19" s="82" t="n">
        <v>4685</v>
      </c>
      <c r="C19" s="83" t="s">
        <v>190</v>
      </c>
      <c r="D19" s="84" t="n">
        <f aca="false">B19/$B$19-1</f>
        <v>0</v>
      </c>
      <c r="E19" s="85" t="n">
        <v>3.6538</v>
      </c>
      <c r="G19" s="86" t="n">
        <f aca="false">1-E19/$E$19</f>
        <v>0</v>
      </c>
    </row>
    <row r="20" customFormat="false" ht="15" hidden="false" customHeight="true" outlineLevel="0" collapsed="false">
      <c r="A20" s="81" t="s">
        <v>404</v>
      </c>
      <c r="B20" s="82" t="n">
        <v>4693</v>
      </c>
      <c r="C20" s="83" t="s">
        <v>190</v>
      </c>
      <c r="D20" s="84" t="n">
        <f aca="false">B20/$B$19-1</f>
        <v>0.00170757737459981</v>
      </c>
      <c r="E20" s="85" t="n">
        <v>2.3741</v>
      </c>
      <c r="G20" s="86" t="n">
        <f aca="false">1-E20/$E$19</f>
        <v>0.350238108270841</v>
      </c>
    </row>
    <row r="22" customFormat="false" ht="15.75" hidden="false" customHeight="true" outlineLevel="0" collapsed="false">
      <c r="A22" s="25" t="s">
        <v>405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customFormat="false" ht="30" hidden="false" customHeight="true" outlineLevel="0" collapsed="false">
      <c r="A23" s="25" t="s">
        <v>406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customFormat="false" ht="15" hidden="false" customHeight="true" outlineLevel="0" collapsed="false">
      <c r="A24" s="22" t="s">
        <v>407</v>
      </c>
    </row>
    <row r="25" customFormat="false" ht="43.5" hidden="false" customHeight="true" outlineLevel="0" collapsed="false">
      <c r="A25" s="6" t="s">
        <v>408</v>
      </c>
      <c r="B25" s="6" t="s">
        <v>233</v>
      </c>
      <c r="C25" s="6" t="s">
        <v>56</v>
      </c>
      <c r="D25" s="6" t="s">
        <v>60</v>
      </c>
      <c r="E25" s="6" t="s">
        <v>409</v>
      </c>
    </row>
    <row r="26" customFormat="false" ht="15" hidden="false" customHeight="true" outlineLevel="0" collapsed="false">
      <c r="A26" s="11" t="s">
        <v>410</v>
      </c>
      <c r="B26" s="8" t="s">
        <v>411</v>
      </c>
      <c r="C26" s="79"/>
      <c r="D26" s="79"/>
      <c r="E26" s="80"/>
    </row>
    <row r="27" customFormat="false" ht="15" hidden="false" customHeight="true" outlineLevel="0" collapsed="false">
      <c r="A27" s="11" t="s">
        <v>412</v>
      </c>
      <c r="B27" s="8" t="s">
        <v>413</v>
      </c>
      <c r="C27" s="79"/>
      <c r="D27" s="79"/>
      <c r="E27" s="80"/>
    </row>
    <row r="28" customFormat="false" ht="15" hidden="false" customHeight="true" outlineLevel="0" collapsed="false">
      <c r="A28" s="11" t="s">
        <v>412</v>
      </c>
      <c r="B28" s="8" t="s">
        <v>414</v>
      </c>
      <c r="C28" s="79"/>
      <c r="D28" s="79"/>
      <c r="E28" s="80"/>
    </row>
    <row r="29" customFormat="false" ht="15" hidden="false" customHeight="true" outlineLevel="0" collapsed="false">
      <c r="A29" s="11" t="s">
        <v>415</v>
      </c>
      <c r="B29" s="8" t="s">
        <v>416</v>
      </c>
      <c r="C29" s="79"/>
      <c r="D29" s="79"/>
      <c r="E29" s="80"/>
    </row>
    <row r="30" customFormat="false" ht="25.5" hidden="false" customHeight="true" outlineLevel="0" collapsed="false">
      <c r="A30" s="11" t="s">
        <v>417</v>
      </c>
      <c r="B30" s="8" t="s">
        <v>418</v>
      </c>
      <c r="C30" s="79"/>
      <c r="D30" s="79"/>
      <c r="E30" s="80"/>
    </row>
  </sheetData>
  <mergeCells count="2">
    <mergeCell ref="A22:K22"/>
    <mergeCell ref="A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2026-10-03T00:50:32Z</dcterms:created>
  <dc:creator>openpyxl</dc:creator>
  <dc:description/>
  <dc:language>en-US</dc:language>
  <cp:lastModifiedBy>thanhthao</cp:lastModifiedBy>
  <dcterms:modified xsi:type="dcterms:W3CDTF">2026-10-07T11:11:23Z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